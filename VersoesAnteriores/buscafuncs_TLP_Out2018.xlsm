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Instaladores\BFunc\"/>
    </mc:Choice>
  </mc:AlternateContent>
  <xr:revisionPtr revIDLastSave="0" documentId="10_ncr:100000_{4187C58E-D446-4FBC-88C6-3930B79271DB}" xr6:coauthVersionLast="31" xr6:coauthVersionMax="31" xr10:uidLastSave="{00000000-0000-0000-0000-000000000000}"/>
  <bookViews>
    <workbookView xWindow="0" yWindow="0" windowWidth="20490" windowHeight="7755" xr2:uid="{00000000-000D-0000-FFFF-FFFF00000000}"/>
  </bookViews>
  <sheets>
    <sheet name="Ocorrencias" sheetId="1" r:id="rId1"/>
    <sheet name="ContidoEm" sheetId="2" r:id="rId2"/>
    <sheet name="Resumo" sheetId="4" r:id="rId3"/>
    <sheet name="Sheet1" sheetId="6" state="hidden" r:id="rId4"/>
    <sheet name="Fontes" sheetId="5" r:id="rId5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7" i="6" l="1"/>
  <c r="L12" i="6"/>
  <c r="N2" i="6"/>
  <c r="J6" i="6"/>
</calcChain>
</file>

<file path=xl/sharedStrings.xml><?xml version="1.0" encoding="utf-8"?>
<sst xmlns="http://schemas.openxmlformats.org/spreadsheetml/2006/main" count="3235" uniqueCount="1052">
  <si>
    <t>ccrpcb.prg</t>
  </si>
  <si>
    <t>ccrpca.prg</t>
  </si>
  <si>
    <t>Fonte</t>
  </si>
  <si>
    <t>Ocorrências</t>
  </si>
  <si>
    <t>ccrpaaa.prg</t>
  </si>
  <si>
    <t>ccrpaac.prg</t>
  </si>
  <si>
    <t>ccrpaad.prg</t>
  </si>
  <si>
    <t>ccrpaai.prg</t>
  </si>
  <si>
    <t>ccrpaaj.prg</t>
  </si>
  <si>
    <t>ccrpaak.prg</t>
  </si>
  <si>
    <t>ccrpabb.prg</t>
  </si>
  <si>
    <t>ccrpabgb.prg</t>
  </si>
  <si>
    <t>ccrpabi.prg</t>
  </si>
  <si>
    <t>ccrpabk.prg</t>
  </si>
  <si>
    <t>ccrpabl.prg</t>
  </si>
  <si>
    <t>ccrpabm.prg</t>
  </si>
  <si>
    <t>ccrpabn.prg</t>
  </si>
  <si>
    <t>ccrpabo.prg</t>
  </si>
  <si>
    <t>ccrpacaa.prg</t>
  </si>
  <si>
    <t>ccrpacab.prg</t>
  </si>
  <si>
    <t>ccrpacb.prg</t>
  </si>
  <si>
    <t>ccrpacc.prg</t>
  </si>
  <si>
    <t>ccrpada.prg</t>
  </si>
  <si>
    <t>ccrpadb.prg</t>
  </si>
  <si>
    <t>ccrpade.prg</t>
  </si>
  <si>
    <t>ccrpadf.prg</t>
  </si>
  <si>
    <t>ccrpaha.prg</t>
  </si>
  <si>
    <t>ccrpahb.prg</t>
  </si>
  <si>
    <t>ccrpbaa.prg</t>
  </si>
  <si>
    <t>ccrpbac.prg</t>
  </si>
  <si>
    <t>ccrpbba.prg</t>
  </si>
  <si>
    <t>ccrpbbb.prg</t>
  </si>
  <si>
    <t>ccrpbbl.prg</t>
  </si>
  <si>
    <t>ccrpbbm.prg</t>
  </si>
  <si>
    <t>ccrpbcg.prg</t>
  </si>
  <si>
    <t>ccrpbch.prg</t>
  </si>
  <si>
    <t>ccrpbco.prg</t>
  </si>
  <si>
    <t>ccrpbda.prg</t>
  </si>
  <si>
    <t>ccrpbdb.prg</t>
  </si>
  <si>
    <t>ccrpbdc.prg</t>
  </si>
  <si>
    <t>ccrpbe.prg</t>
  </si>
  <si>
    <t>ccrpbg.prg</t>
  </si>
  <si>
    <t>ccrpbhb.prg</t>
  </si>
  <si>
    <t>ccrpbja.prg</t>
  </si>
  <si>
    <t>ccrpbjb.prg</t>
  </si>
  <si>
    <t>ccrpbka.prg</t>
  </si>
  <si>
    <t>ccrpbkb.prg</t>
  </si>
  <si>
    <t>ccrpbl.prg</t>
  </si>
  <si>
    <t>ccrpbma.prg</t>
  </si>
  <si>
    <t>ccrpcab.prg</t>
  </si>
  <si>
    <t>ccrpcabn.prg</t>
  </si>
  <si>
    <t>ccrpcap.prg</t>
  </si>
  <si>
    <t>ccrpcaq.prg</t>
  </si>
  <si>
    <t>ccrpcbb.prg</t>
  </si>
  <si>
    <t>ccrpcbbn.prg</t>
  </si>
  <si>
    <t>ccrpcbc.prg</t>
  </si>
  <si>
    <t>ccrpcbd.prg</t>
  </si>
  <si>
    <t>ccrpcbe.prg</t>
  </si>
  <si>
    <t>ccrpcbf.prg</t>
  </si>
  <si>
    <t>ccrpccaa.prg</t>
  </si>
  <si>
    <t>ccrpccab.prg</t>
  </si>
  <si>
    <t>ccrpccac.prg</t>
  </si>
  <si>
    <t>ccrpccad.prg</t>
  </si>
  <si>
    <t>ccrpccae.prg</t>
  </si>
  <si>
    <t>ccrpccaf.prg</t>
  </si>
  <si>
    <t>ccrpccag.prg</t>
  </si>
  <si>
    <t>ccrpccb.prg</t>
  </si>
  <si>
    <t>ccrpccc.prg</t>
  </si>
  <si>
    <t>ccrpccd.prg</t>
  </si>
  <si>
    <t>ccrpcce.prg</t>
  </si>
  <si>
    <t>ccrpccf.prg</t>
  </si>
  <si>
    <t>ccrpccg.prg</t>
  </si>
  <si>
    <t>ccrpcch.prg</t>
  </si>
  <si>
    <t>ccrpccm.prg</t>
  </si>
  <si>
    <t>ccrpccn.prg</t>
  </si>
  <si>
    <t>ccrpcco.prg</t>
  </si>
  <si>
    <t>ccrpccp.prg</t>
  </si>
  <si>
    <t>ccrpcda.prg</t>
  </si>
  <si>
    <t>ccrpcdb.prg</t>
  </si>
  <si>
    <t>ccrpcdbb.prg</t>
  </si>
  <si>
    <t>ccrpcdc.prg</t>
  </si>
  <si>
    <t>ccrpcdd.prg</t>
  </si>
  <si>
    <t>ccrpcde.prg</t>
  </si>
  <si>
    <t>ccrpcdf.prg</t>
  </si>
  <si>
    <t>ccrpcdg.prg</t>
  </si>
  <si>
    <t>ccrpcea.prg</t>
  </si>
  <si>
    <t>ccrpceb.prg</t>
  </si>
  <si>
    <t>ccrpcec.prg</t>
  </si>
  <si>
    <t>ccrpcfa.prg</t>
  </si>
  <si>
    <t>ccrpcfb.prg</t>
  </si>
  <si>
    <t>ccrpcga.prg</t>
  </si>
  <si>
    <t>ccrpcgb.prg</t>
  </si>
  <si>
    <t>ccrpcgc.prg</t>
  </si>
  <si>
    <t>ccrpcgd.prg</t>
  </si>
  <si>
    <t>ccrpcge.prg</t>
  </si>
  <si>
    <t>ccrpcha.prg</t>
  </si>
  <si>
    <t>ccrpchb.prg</t>
  </si>
  <si>
    <t>ccrpchc.prg</t>
  </si>
  <si>
    <t>ccrpchd.prg</t>
  </si>
  <si>
    <t>ccrpche.prg</t>
  </si>
  <si>
    <t>ccrpci.prg</t>
  </si>
  <si>
    <t>ccrpcka.prg</t>
  </si>
  <si>
    <t>ccrpckb.prg</t>
  </si>
  <si>
    <t>ccrpcla.prg</t>
  </si>
  <si>
    <t>ccrpclc.prg</t>
  </si>
  <si>
    <t>ccrpcld.prg</t>
  </si>
  <si>
    <t>ccrpcma.prg</t>
  </si>
  <si>
    <t>ccrpcmc.prg</t>
  </si>
  <si>
    <t>ccrpcne.prg</t>
  </si>
  <si>
    <t>ccrpcnf.prg</t>
  </si>
  <si>
    <t>ccrpcng.prg</t>
  </si>
  <si>
    <t>ccrpcnh.prg</t>
  </si>
  <si>
    <t>ccrpcofc.prg</t>
  </si>
  <si>
    <t>ccrpcp.prg</t>
  </si>
  <si>
    <t>ccrpcpc.prg</t>
  </si>
  <si>
    <t>ccrpcq.prg</t>
  </si>
  <si>
    <t>ccrpcs.prg</t>
  </si>
  <si>
    <t>ccrpcu.prg</t>
  </si>
  <si>
    <t>ccrpcv.prg</t>
  </si>
  <si>
    <t>ccrpcva.prg</t>
  </si>
  <si>
    <t>ccrpcvb.prg</t>
  </si>
  <si>
    <t>ccrpcw.prg</t>
  </si>
  <si>
    <t>ccrpcwb.prg</t>
  </si>
  <si>
    <t>ccrpcwc.prg</t>
  </si>
  <si>
    <t>ccrpcya.prg</t>
  </si>
  <si>
    <t>ccrpcyb.prg</t>
  </si>
  <si>
    <t>ccrpdal.prg</t>
  </si>
  <si>
    <t>ccrpdh.prg</t>
  </si>
  <si>
    <t>ccrpdia.prg</t>
  </si>
  <si>
    <t>ccrpdjd.prg</t>
  </si>
  <si>
    <t>ccrpdjfa.prg</t>
  </si>
  <si>
    <t>ccrpdjh.prg</t>
  </si>
  <si>
    <t>ccrpdjk.prg</t>
  </si>
  <si>
    <t>ccrpdoaa.prg</t>
  </si>
  <si>
    <t>ccrpdoba.prg</t>
  </si>
  <si>
    <t>ccrpdoca.prg</t>
  </si>
  <si>
    <t>ccrpdp.prg</t>
  </si>
  <si>
    <t>ccrpdq.prg</t>
  </si>
  <si>
    <t>ccrpds.prg</t>
  </si>
  <si>
    <t>ccrpea.prg</t>
  </si>
  <si>
    <t>ccrpeaa.prg</t>
  </si>
  <si>
    <t>ccrpeab.prg</t>
  </si>
  <si>
    <t>ccrpeae.prg</t>
  </si>
  <si>
    <t>ccrpeaf.prg</t>
  </si>
  <si>
    <t>ccrpeag.prg</t>
  </si>
  <si>
    <t>ccrpeah.prg</t>
  </si>
  <si>
    <t>ccrpeai.prg</t>
  </si>
  <si>
    <t>ccrpeba.prg</t>
  </si>
  <si>
    <t>ccrpebb.prg</t>
  </si>
  <si>
    <t>ccrpebc.prg</t>
  </si>
  <si>
    <t>ccrpebe.prg</t>
  </si>
  <si>
    <t>ccrpebh.prg</t>
  </si>
  <si>
    <t>ccrpebj.prg</t>
  </si>
  <si>
    <t>ccrpebr.prg</t>
  </si>
  <si>
    <t>ccrpebs.prg</t>
  </si>
  <si>
    <t>ccrpeca.prg</t>
  </si>
  <si>
    <t>ccrpeda.prg</t>
  </si>
  <si>
    <t>ccrpedb.prg</t>
  </si>
  <si>
    <t>ccrpedc.prg</t>
  </si>
  <si>
    <t>ccrpedd.prg</t>
  </si>
  <si>
    <t>ccrpede.prg</t>
  </si>
  <si>
    <t>ccrpedf.prg</t>
  </si>
  <si>
    <t>ccrpedg.prg</t>
  </si>
  <si>
    <t>ccrpedh.prg</t>
  </si>
  <si>
    <t>ccrpeefa.prg</t>
  </si>
  <si>
    <t>ccrpeefb.prg</t>
  </si>
  <si>
    <t>ccrpeefc.prg</t>
  </si>
  <si>
    <t>ccrpeefe.prg</t>
  </si>
  <si>
    <t>ccrpeeff.prg</t>
  </si>
  <si>
    <t>ccrpeeg.prg</t>
  </si>
  <si>
    <t>ccrpeei.prg</t>
  </si>
  <si>
    <t>ccrpeej.prg</t>
  </si>
  <si>
    <t>ccrpeeka.prg</t>
  </si>
  <si>
    <t>ccrpeema.prg</t>
  </si>
  <si>
    <t>ccrpeeoa.prg</t>
  </si>
  <si>
    <t>ccrpeeoc.prg</t>
  </si>
  <si>
    <t>ccrpeeoe.prg</t>
  </si>
  <si>
    <t>ccrpeer.prg</t>
  </si>
  <si>
    <t>ccrpees.prg</t>
  </si>
  <si>
    <t>ccrpeet.prg</t>
  </si>
  <si>
    <t>ccrpeeua.prg</t>
  </si>
  <si>
    <t>ccrpeeub.prg</t>
  </si>
  <si>
    <t>ccrpeeuc.prg</t>
  </si>
  <si>
    <t>ccrpeev.prg</t>
  </si>
  <si>
    <t>ccrpeex.prg</t>
  </si>
  <si>
    <t>ccrpeey.prg</t>
  </si>
  <si>
    <t>ccrpefa.prg</t>
  </si>
  <si>
    <t>ccrpefba.prg</t>
  </si>
  <si>
    <t>ccrpefbb.prg</t>
  </si>
  <si>
    <t>ccrpefca.prg</t>
  </si>
  <si>
    <t>ccrpefcb.prg</t>
  </si>
  <si>
    <t>ccrpefcc.prg</t>
  </si>
  <si>
    <t>ccrpefcg.prg</t>
  </si>
  <si>
    <t>ccrpefd.prg</t>
  </si>
  <si>
    <t>ccrpefed.prg</t>
  </si>
  <si>
    <t>ccrpefee.prg</t>
  </si>
  <si>
    <t>ccrpefg.prg</t>
  </si>
  <si>
    <t>ccrpefl.prg</t>
  </si>
  <si>
    <t>ccrpefr.prg</t>
  </si>
  <si>
    <t>ccrpeft.prg</t>
  </si>
  <si>
    <t>ccrpefv.prg</t>
  </si>
  <si>
    <t>ccrpege.prg</t>
  </si>
  <si>
    <t>ccrpeha.prg</t>
  </si>
  <si>
    <t>ccrpehb.prg</t>
  </si>
  <si>
    <t>ccrpeia.prg</t>
  </si>
  <si>
    <t>ccrpeid.prg</t>
  </si>
  <si>
    <t>ccrpeie.prg</t>
  </si>
  <si>
    <t>ccrpeif.prg</t>
  </si>
  <si>
    <t>ccrpeig.prg</t>
  </si>
  <si>
    <t>ccrpeka.prg</t>
  </si>
  <si>
    <t>ccrpekb.prg</t>
  </si>
  <si>
    <t>ccrpekc.prg</t>
  </si>
  <si>
    <t>ccrpekd.prg</t>
  </si>
  <si>
    <t>ccrpela.prg</t>
  </si>
  <si>
    <t>ccrpele.prg</t>
  </si>
  <si>
    <t>ccrpelf.prg</t>
  </si>
  <si>
    <t>ccrpelh.prg</t>
  </si>
  <si>
    <t>ccrpeli.prg</t>
  </si>
  <si>
    <t>ccrpell.prg</t>
  </si>
  <si>
    <t>ccrpelm.prg</t>
  </si>
  <si>
    <t>ccrpeln.prg</t>
  </si>
  <si>
    <t>ccrpeloa.prg</t>
  </si>
  <si>
    <t>ccrpelob.prg</t>
  </si>
  <si>
    <t>ccrpeloc.prg</t>
  </si>
  <si>
    <t>ccrpelod.prg</t>
  </si>
  <si>
    <t>ccrpema.prg</t>
  </si>
  <si>
    <t>ccrpen.prg</t>
  </si>
  <si>
    <t>ccrpeod.prg</t>
  </si>
  <si>
    <t>ccrpet.prg</t>
  </si>
  <si>
    <t>ccrpeu.prg</t>
  </si>
  <si>
    <t>ccrpfab.prg</t>
  </si>
  <si>
    <t>ccrpfac.prg</t>
  </si>
  <si>
    <t>ccrpfai.prg</t>
  </si>
  <si>
    <t>ccrpfaj.prg</t>
  </si>
  <si>
    <t>ccrpfb1.prg</t>
  </si>
  <si>
    <t>ccrpfb2.prg</t>
  </si>
  <si>
    <t>ccrpfb5.prg</t>
  </si>
  <si>
    <t>ccrpfb9a.prg</t>
  </si>
  <si>
    <t>ccrpfb9b.prg</t>
  </si>
  <si>
    <t>ccrpfb9c.prg</t>
  </si>
  <si>
    <t>ccrpfb9d.prg</t>
  </si>
  <si>
    <t>ccrpfb9e.prg</t>
  </si>
  <si>
    <t>ccrpfbhb.prg</t>
  </si>
  <si>
    <t>ccrpfbhc.prg</t>
  </si>
  <si>
    <t>ccrpfbka.prg</t>
  </si>
  <si>
    <t>ccrpfbkb.prg</t>
  </si>
  <si>
    <t>ccrpfbkc.prg</t>
  </si>
  <si>
    <t>ccrpfbl.prg</t>
  </si>
  <si>
    <t>ccrpfblb.prg</t>
  </si>
  <si>
    <t>ccrpfblc.prg</t>
  </si>
  <si>
    <t>ccrpfbu.prg</t>
  </si>
  <si>
    <t>ccrpfbv.prg</t>
  </si>
  <si>
    <t>ccrpfbw.prg</t>
  </si>
  <si>
    <t>ccrpfbwa.prg</t>
  </si>
  <si>
    <t>ccrpfbz.prg</t>
  </si>
  <si>
    <t>ccrpfc1.prg</t>
  </si>
  <si>
    <t>ccrpfc2.prg</t>
  </si>
  <si>
    <t>ccrpfc6.prg</t>
  </si>
  <si>
    <t>ccrpfcc.prg</t>
  </si>
  <si>
    <t>ccrpffa.prg</t>
  </si>
  <si>
    <t>ccrpffb.prg</t>
  </si>
  <si>
    <t>ccrpffd.prg</t>
  </si>
  <si>
    <t>ccrpfff.prg</t>
  </si>
  <si>
    <t>ccrpfffa.prg</t>
  </si>
  <si>
    <t>ccrpfffb.prg</t>
  </si>
  <si>
    <t>ccrpffff.prg</t>
  </si>
  <si>
    <t>ccrpffg.prg</t>
  </si>
  <si>
    <t>ccrpffgb.prg</t>
  </si>
  <si>
    <t>ccrpffh.prg</t>
  </si>
  <si>
    <t>ccrpffj.prg</t>
  </si>
  <si>
    <t>ccrpffk.prg</t>
  </si>
  <si>
    <t>ccrpffl.prg</t>
  </si>
  <si>
    <t>ccrpffm.prg</t>
  </si>
  <si>
    <t>ccrpffn.prg</t>
  </si>
  <si>
    <t>ccrpffo.prg</t>
  </si>
  <si>
    <t>ccrpffp.prg</t>
  </si>
  <si>
    <t>ccrpffq.prg</t>
  </si>
  <si>
    <t>ccrpffr.prg</t>
  </si>
  <si>
    <t>ccrpffs.prg</t>
  </si>
  <si>
    <t>ccrpfft.prg</t>
  </si>
  <si>
    <t>ccrpffu.prg</t>
  </si>
  <si>
    <t>ccrpffv.prg</t>
  </si>
  <si>
    <t>ccrpffw.prg</t>
  </si>
  <si>
    <t>ccrpffx.prg</t>
  </si>
  <si>
    <t>ccrpffy.prg</t>
  </si>
  <si>
    <t>ccrpffz.prg</t>
  </si>
  <si>
    <t>ccrpfga.prg</t>
  </si>
  <si>
    <t>ccrpfgb.prg</t>
  </si>
  <si>
    <t>ccrpfgda.prg</t>
  </si>
  <si>
    <t>ccrpfgdc.prg</t>
  </si>
  <si>
    <t>ccrpfgdd.prg</t>
  </si>
  <si>
    <t>ccrpfgde.prg</t>
  </si>
  <si>
    <t>ccrpfgea.prg</t>
  </si>
  <si>
    <t>ccrpfh.prg</t>
  </si>
  <si>
    <t>ccrpfi.prg</t>
  </si>
  <si>
    <t>ccrpfica.prg</t>
  </si>
  <si>
    <t>ccrpfif.prg</t>
  </si>
  <si>
    <t>ccrpfig.prg</t>
  </si>
  <si>
    <t>ccrpfigb.prg</t>
  </si>
  <si>
    <t>ccrpfigc.prg</t>
  </si>
  <si>
    <t>ccrpfih.prg</t>
  </si>
  <si>
    <t>ccrpfj.prg</t>
  </si>
  <si>
    <t>ccrpfka.prg</t>
  </si>
  <si>
    <t>ccrpfla.prg</t>
  </si>
  <si>
    <t>ccrpflb.prg</t>
  </si>
  <si>
    <t>ccrpfld.prg</t>
  </si>
  <si>
    <t>ccrpfle.prg</t>
  </si>
  <si>
    <t>ccrpflf.prg</t>
  </si>
  <si>
    <t>ccrpflg.prg</t>
  </si>
  <si>
    <t>ccrpflh.prg</t>
  </si>
  <si>
    <t>ccrpfli.prg</t>
  </si>
  <si>
    <t>ccrpfm.prg</t>
  </si>
  <si>
    <t>ccrpfn.prg</t>
  </si>
  <si>
    <t>ccrpfn10.prg</t>
  </si>
  <si>
    <t>ccrpfna.prg</t>
  </si>
  <si>
    <t>ccrpfnb.prg</t>
  </si>
  <si>
    <t>ccrpfq.prg</t>
  </si>
  <si>
    <t>ccrpfr.prg</t>
  </si>
  <si>
    <t>ccrpgaj.prg</t>
  </si>
  <si>
    <t>ccrpgal.prg</t>
  </si>
  <si>
    <t>ccrpgam.prg</t>
  </si>
  <si>
    <t>ccrpgb.prg</t>
  </si>
  <si>
    <t>ccrpgc.prg</t>
  </si>
  <si>
    <t>ccrphb.prg</t>
  </si>
  <si>
    <t>ccrphc.prg</t>
  </si>
  <si>
    <t>ccrphd.prg</t>
  </si>
  <si>
    <t>ccrphe.prg</t>
  </si>
  <si>
    <t>ccrphf.prg</t>
  </si>
  <si>
    <t>ccrphg.prg</t>
  </si>
  <si>
    <t>ccrphh.prg</t>
  </si>
  <si>
    <t>ccrphi.prg</t>
  </si>
  <si>
    <t>ccrphj.prg</t>
  </si>
  <si>
    <t>ccrphm.prg</t>
  </si>
  <si>
    <t>ccrphn.prg</t>
  </si>
  <si>
    <t>ccrpho.prg</t>
  </si>
  <si>
    <t>ccrphp.prg</t>
  </si>
  <si>
    <t>convccrp.prg</t>
  </si>
  <si>
    <t>menusiat.prg</t>
  </si>
  <si>
    <t>perfil.prg</t>
  </si>
  <si>
    <t>rtabredia.prg</t>
  </si>
  <si>
    <t>rtadaa.prg</t>
  </si>
  <si>
    <t>rtadab.prg</t>
  </si>
  <si>
    <t>rtadac.prg</t>
  </si>
  <si>
    <t>rtadada.prg</t>
  </si>
  <si>
    <t>rtadae.prg</t>
  </si>
  <si>
    <t>rtadaf.prg</t>
  </si>
  <si>
    <t>rtadag.prg</t>
  </si>
  <si>
    <t>rtadah.prg</t>
  </si>
  <si>
    <t>rtadaia.prg</t>
  </si>
  <si>
    <t>rtadaib.prg</t>
  </si>
  <si>
    <t>rtadaj.prg</t>
  </si>
  <si>
    <t>rtadak.prg</t>
  </si>
  <si>
    <t>rtadal.prg</t>
  </si>
  <si>
    <t>rtadam.prg</t>
  </si>
  <si>
    <t>rtadan.prg</t>
  </si>
  <si>
    <t>rtadao.prg</t>
  </si>
  <si>
    <t>rtadaob.prg</t>
  </si>
  <si>
    <t>rtadap.prg</t>
  </si>
  <si>
    <t>rtadaq.prg</t>
  </si>
  <si>
    <t>rtadar.prg</t>
  </si>
  <si>
    <t>rtadas.prg</t>
  </si>
  <si>
    <t>rtadat.prg</t>
  </si>
  <si>
    <t>rtadau.prg</t>
  </si>
  <si>
    <t>rtadav.prg</t>
  </si>
  <si>
    <t>rtadaw.prg</t>
  </si>
  <si>
    <t>rtadax.prg</t>
  </si>
  <si>
    <t>rtadaz.prg</t>
  </si>
  <si>
    <t>rtbai.prg</t>
  </si>
  <si>
    <t>rtbaj.prg</t>
  </si>
  <si>
    <t>rtbb.prg</t>
  </si>
  <si>
    <t>rtcaa.prg</t>
  </si>
  <si>
    <t>rtcab.prg</t>
  </si>
  <si>
    <t>rtcabb.prg</t>
  </si>
  <si>
    <t>rtcac.prg</t>
  </si>
  <si>
    <t>rtcad.prg</t>
  </si>
  <si>
    <t>rtcae.prg</t>
  </si>
  <si>
    <t>rtcaf.prg</t>
  </si>
  <si>
    <t>rtcag.prg</t>
  </si>
  <si>
    <t>rtcaj.prg</t>
  </si>
  <si>
    <t>rtcak.prg</t>
  </si>
  <si>
    <t>rtcaka.prg</t>
  </si>
  <si>
    <t>rtcal.prg</t>
  </si>
  <si>
    <t>rtcam.prg</t>
  </si>
  <si>
    <t>rtcan.prg</t>
  </si>
  <si>
    <t>rtcao.prg</t>
  </si>
  <si>
    <t>rtcaoc.prg</t>
  </si>
  <si>
    <t>rtcaod.prg</t>
  </si>
  <si>
    <t>rtcaoe.prg</t>
  </si>
  <si>
    <t>rtcaof.prg</t>
  </si>
  <si>
    <t>rtcap.prg</t>
  </si>
  <si>
    <t>rtcar.prg</t>
  </si>
  <si>
    <t>rtcas.prg</t>
  </si>
  <si>
    <t>rtcat.prg</t>
  </si>
  <si>
    <t>rtcatb.prg</t>
  </si>
  <si>
    <t>rtcaw.prg</t>
  </si>
  <si>
    <t>rtcay.prg</t>
  </si>
  <si>
    <t>rtcaz.prg</t>
  </si>
  <si>
    <t>rtconscred.prg</t>
  </si>
  <si>
    <t>rtcsd.prg</t>
  </si>
  <si>
    <t>rtcspa.prg</t>
  </si>
  <si>
    <t>rtda2.prg</t>
  </si>
  <si>
    <t>rtda3.prg</t>
  </si>
  <si>
    <t>rtda4.prg</t>
  </si>
  <si>
    <t>rtda5.prg</t>
  </si>
  <si>
    <t>rtda6.prg</t>
  </si>
  <si>
    <t>rtda7.prg</t>
  </si>
  <si>
    <t>rtda8.prg</t>
  </si>
  <si>
    <t>rtdaa.prg</t>
  </si>
  <si>
    <t>rtdab.prg</t>
  </si>
  <si>
    <t>rtdac.prg</t>
  </si>
  <si>
    <t>rtdaca.prg</t>
  </si>
  <si>
    <t>rtdacb.prg</t>
  </si>
  <si>
    <t>rtdad.prg</t>
  </si>
  <si>
    <t>rtdadb.prg</t>
  </si>
  <si>
    <t>rtdadc.prg</t>
  </si>
  <si>
    <t>rtdadd.prg</t>
  </si>
  <si>
    <t>rtdae.prg</t>
  </si>
  <si>
    <t>rtdaf.prg</t>
  </si>
  <si>
    <t>rtdag.prg</t>
  </si>
  <si>
    <t>rtdah.prg</t>
  </si>
  <si>
    <t>rtdai.prg</t>
  </si>
  <si>
    <t>rtdaj.prg</t>
  </si>
  <si>
    <t>rtdak.prg</t>
  </si>
  <si>
    <t>rtdal.prg</t>
  </si>
  <si>
    <t>rtdam.prg</t>
  </si>
  <si>
    <t>rtdap.prg</t>
  </si>
  <si>
    <t>rtdaq.prg</t>
  </si>
  <si>
    <t>rtdar.prg</t>
  </si>
  <si>
    <t>rtdas.prg</t>
  </si>
  <si>
    <t>rtdash.prg</t>
  </si>
  <si>
    <t>rtdasi.prg</t>
  </si>
  <si>
    <t>rtdat.prg</t>
  </si>
  <si>
    <t>rtdau.prg</t>
  </si>
  <si>
    <t>rtdav.prg</t>
  </si>
  <si>
    <t>rtdava.prg</t>
  </si>
  <si>
    <t>rtdavb.prg</t>
  </si>
  <si>
    <t>rtdaw.prg</t>
  </si>
  <si>
    <t>rtdawc.prg</t>
  </si>
  <si>
    <t>rtdawd.prg</t>
  </si>
  <si>
    <t>rtdawe.prg</t>
  </si>
  <si>
    <t>rtdawg.prg</t>
  </si>
  <si>
    <t>rtdawh.prg</t>
  </si>
  <si>
    <t>rtday.prg</t>
  </si>
  <si>
    <t>rtdayc.prg</t>
  </si>
  <si>
    <t>rtdaz.prg</t>
  </si>
  <si>
    <t>rteba.prg</t>
  </si>
  <si>
    <t>rtebb.prg</t>
  </si>
  <si>
    <t>rtebc.prg</t>
  </si>
  <si>
    <t>rtebd.prg</t>
  </si>
  <si>
    <t>rtebea.prg</t>
  </si>
  <si>
    <t>rtebeb.prg</t>
  </si>
  <si>
    <t>rtebec.prg</t>
  </si>
  <si>
    <t>rtebf.prg</t>
  </si>
  <si>
    <t>rtebg.prg</t>
  </si>
  <si>
    <t>rtebgb.prg</t>
  </si>
  <si>
    <t>rtebh.prg</t>
  </si>
  <si>
    <t>rtebi.prg</t>
  </si>
  <si>
    <t>rtebj.prg</t>
  </si>
  <si>
    <t>rtebk.prg</t>
  </si>
  <si>
    <t>rtebl.prg</t>
  </si>
  <si>
    <t>rtebm.prg</t>
  </si>
  <si>
    <t>rtebn.prg</t>
  </si>
  <si>
    <t>rtebo.prg</t>
  </si>
  <si>
    <t>rtebp.prg</t>
  </si>
  <si>
    <t>rtebt.prg</t>
  </si>
  <si>
    <t>rtebu.prg</t>
  </si>
  <si>
    <t>rtebv.prg</t>
  </si>
  <si>
    <t>rtebx.prg</t>
  </si>
  <si>
    <t>rteby.prg</t>
  </si>
  <si>
    <t>rtebz.prg</t>
  </si>
  <si>
    <t>rtexpocop.prg</t>
  </si>
  <si>
    <t>rtfbl.prg</t>
  </si>
  <si>
    <t>rtfc0.prg</t>
  </si>
  <si>
    <t>rtfcq.prg</t>
  </si>
  <si>
    <t>rtfcqb.prg</t>
  </si>
  <si>
    <t>rtfcqc.prg</t>
  </si>
  <si>
    <t>rtfcr.prg</t>
  </si>
  <si>
    <t>rtfcs.prg</t>
  </si>
  <si>
    <t>rtfcv.prg</t>
  </si>
  <si>
    <t>rtfcw.prg</t>
  </si>
  <si>
    <t>rtfcx.prg</t>
  </si>
  <si>
    <t>rtfcz.prg</t>
  </si>
  <si>
    <t>rtfechdia.prg</t>
  </si>
  <si>
    <t>rtgaa.prg</t>
  </si>
  <si>
    <t>rtgab.prg</t>
  </si>
  <si>
    <t>rtgac.prg</t>
  </si>
  <si>
    <t>rtlib.prg</t>
  </si>
  <si>
    <t>rtlibsic.prg</t>
  </si>
  <si>
    <t>rtmapa.prg</t>
  </si>
  <si>
    <t>rtp7niv.prg</t>
  </si>
  <si>
    <t>rtpabm.prg</t>
  </si>
  <si>
    <t>rtpassi.prg</t>
  </si>
  <si>
    <t>rtpdesc.prg</t>
  </si>
  <si>
    <t>rtpfun.prg</t>
  </si>
  <si>
    <t>rtpfun0.prg</t>
  </si>
  <si>
    <t>rtpfun1.prg</t>
  </si>
  <si>
    <t>rtpfun10.prg</t>
  </si>
  <si>
    <t>rtpfun11.prg</t>
  </si>
  <si>
    <t>rtpfun12.prg</t>
  </si>
  <si>
    <t>rtpfun2.prg</t>
  </si>
  <si>
    <t>rtpfun3.prg</t>
  </si>
  <si>
    <t>rtpfun4.prg</t>
  </si>
  <si>
    <t>rtpfun5.prg</t>
  </si>
  <si>
    <t>rtpfun6.prg</t>
  </si>
  <si>
    <t>rtpfun7.prg</t>
  </si>
  <si>
    <t>rtpfun9.prg</t>
  </si>
  <si>
    <t>rtpfunce.prg</t>
  </si>
  <si>
    <t>rtpfuncs.prg</t>
  </si>
  <si>
    <t>rtpfunrcp.prg</t>
  </si>
  <si>
    <t>rtppac.prg</t>
  </si>
  <si>
    <t>rtpsegu.prg</t>
  </si>
  <si>
    <t>rtptran.prg</t>
  </si>
  <si>
    <t>rtrecrep.prg</t>
  </si>
  <si>
    <t>rtrellib.prg</t>
  </si>
  <si>
    <t>rtsobras.prg</t>
  </si>
  <si>
    <t>rttit.prg</t>
  </si>
  <si>
    <t>siatfun.prg</t>
  </si>
  <si>
    <t>siretfu2.prg</t>
  </si>
  <si>
    <t>siretfun.prg</t>
  </si>
  <si>
    <t>unific.prg</t>
  </si>
  <si>
    <t>S</t>
  </si>
  <si>
    <t xml:space="preserve">Função Contenedora: </t>
  </si>
  <si>
    <t>Verif</t>
  </si>
  <si>
    <t>abreempr.prg</t>
  </si>
  <si>
    <t>ccrpcac.prg</t>
  </si>
  <si>
    <t>ccrpcre.prg</t>
  </si>
  <si>
    <t>ccrpfbya.prg</t>
  </si>
  <si>
    <t>ccrpffi.prg</t>
  </si>
  <si>
    <t>ccrpficb.prg</t>
  </si>
  <si>
    <t>ccrpfrci.prg</t>
  </si>
  <si>
    <t>ccrp_ati.prg</t>
  </si>
  <si>
    <t>closedbf.prg</t>
  </si>
  <si>
    <t>fechempr.prg</t>
  </si>
  <si>
    <t>f_alerta.prg</t>
  </si>
  <si>
    <t>f_bottom.prg</t>
  </si>
  <si>
    <t>f_calc.prg</t>
  </si>
  <si>
    <t>f_ccrp_s.prg</t>
  </si>
  <si>
    <t>f_confir.prg</t>
  </si>
  <si>
    <t>f_crerur.prg</t>
  </si>
  <si>
    <t>f_criadb.prg</t>
  </si>
  <si>
    <t>f_databa.prg</t>
  </si>
  <si>
    <t>f_datain.prg</t>
  </si>
  <si>
    <t>f_descon.prg</t>
  </si>
  <si>
    <t>f_diabas.prg</t>
  </si>
  <si>
    <t>f_diauti.prg</t>
  </si>
  <si>
    <t>f_dmaior.prg</t>
  </si>
  <si>
    <t>f_equiva.prg</t>
  </si>
  <si>
    <t>f_facp.prg</t>
  </si>
  <si>
    <t>f_feriad.prg</t>
  </si>
  <si>
    <t>f_files.prg</t>
  </si>
  <si>
    <t>f_histoper.prg</t>
  </si>
  <si>
    <t>f_iof.prg</t>
  </si>
  <si>
    <t>f_iofina.prg</t>
  </si>
  <si>
    <t>f_limpcp.prg</t>
  </si>
  <si>
    <t>f_mensag.prg</t>
  </si>
  <si>
    <t>f_micons.prg</t>
  </si>
  <si>
    <t>f_moveja.prg</t>
  </si>
  <si>
    <t>f_nome.prg</t>
  </si>
  <si>
    <t>f_nro_di.prg</t>
  </si>
  <si>
    <t>f_price.prg</t>
  </si>
  <si>
    <t>f_primca.prg</t>
  </si>
  <si>
    <t>f_pwsmda.prg</t>
  </si>
  <si>
    <t>f_savefi.prg</t>
  </si>
  <si>
    <t>f_seguro.prg</t>
  </si>
  <si>
    <t>f_somaan.prg</t>
  </si>
  <si>
    <t>f_tipocm.prg</t>
  </si>
  <si>
    <t>opendbf.prg</t>
  </si>
  <si>
    <t>rendapro.prg</t>
  </si>
  <si>
    <t>rtadara.prg</t>
  </si>
  <si>
    <t>rtda1.prg</t>
  </si>
  <si>
    <t>rtdawf.prg</t>
  </si>
  <si>
    <t>rtlibbndes.prg</t>
  </si>
  <si>
    <t>rtpfunmd.prg</t>
  </si>
  <si>
    <t>rtpgenfun.prg</t>
  </si>
  <si>
    <t>rtrellibbndes.prg</t>
  </si>
  <si>
    <t>saldodev.prg</t>
  </si>
  <si>
    <t>titabert.prg</t>
  </si>
  <si>
    <t>verifind.prg</t>
  </si>
  <si>
    <t>#Define EXIBIR_FATOR_TLP FALSE</t>
  </si>
  <si>
    <t xml:space="preserve">   &lt; Marcelo Tomazzini&gt;  6.59     26/09/2018 UD103502 - PJ2399 - Consulta de Titulos (E-A) - TLP Inadimplencia</t>
  </si>
  <si>
    <t xml:space="preserve"> F_FillTitulos()</t>
  </si>
  <si>
    <t>If F_pEhTLP( CcrpFina-&gt;FcCodFina )</t>
  </si>
  <si>
    <t xml:space="preserve">   F_pRetornaTaxaPreFixadaTLP( nTxFixa, @nSpreadBNDES, nSpreadSicredi, @nTaxaPreFixada, CcrpTitu-&gt;fcPerJrNor == "M" )   </t>
  </si>
  <si>
    <t xml:space="preserve">   F_pRetornaTaxaCorrigidaTLP( nTaxaPreFixada, nIpca, @nTxCorrigida, TRUE  )</t>
  </si>
  <si>
    <t xml:space="preserve">   If EXIBIR_FATOR_TLP</t>
  </si>
  <si>
    <t>If !F_pEhTLP( CcrpFina-&gt;FcCodFina )</t>
  </si>
  <si>
    <t>IF ( ! F_pEh_Desconto( CcrpTitu-&gt;FcCodFina ) .Or. ! F_TipoEmprestimo( CcrpTitu-&gt;FcCodFina ) == DESCONTO_CHEQUES ) .AND. ! F_pEhTLP( CcrpFina-&gt;FcCodFina )</t>
  </si>
  <si>
    <t xml:space="preserve"> F_DisplayTaxas()</t>
  </si>
  <si>
    <t>Local lEhTLP               := FALSE</t>
  </si>
  <si>
    <t xml:space="preserve">Local nLinhaTLP            := 3 </t>
  </si>
  <si>
    <t>Local nColunaTLP           := 1</t>
  </si>
  <si>
    <t>lEhTLP := F_pEhTLP( CcrpFina-&gt;FcCodFina )</t>
  </si>
  <si>
    <t>ElseIf lEhTLP</t>
  </si>
  <si>
    <t xml:space="preserve">            F_pSolicitaTaxaTLP( aCaracProduto, aPacotePrecificacao, @nTaxaJuros, aTaxas[ CPERJRNOR ], lEhSoli, cAssociado, CcrpPaco-&gt;FdDtaOpen, FALSE )</t>
  </si>
  <si>
    <t xml:space="preserve">         AADD( aGetTaxas, GETNEW( nLinhaTLP + 12, nColunaTLP + 21, { |x| IF( x == NIL, aTaxas[ NTXJRNOR ], aTaxas[ NTXJRNOR ] := x ) }, "aTaxas[ NTXJRNOR ]", PICT1206, COR_GET ) )</t>
  </si>
  <si>
    <t xml:space="preserve">         AADD( aGetTaxas, GETNEW( nLinhaTLP + 12, nColunaTLP + 4 + nColDesc, { |x| IF( x == NIL, aTaxas[ CPERJRNOR ], aTaxas[ CPERJRNOR ] := x ) }, "aTaxas[ CPERJRNOR ]", "A" ) )</t>
  </si>
  <si>
    <t xml:space="preserve">         aGetTaxas[ 2 ] : PreBlock := { |oGet| Eval( { || F_pDescArray( nLinhaTLP + 11, nColunaTLP + nColDesc, aOriginal, aTaxas[ CPERJRNOR ], 6 ), FALSE } ) }      </t>
  </si>
  <si>
    <t xml:space="preserve">            AADD( aGetTaxas, GETNEW( nLinhaTLP + 11, nColunaTLP + 25, { |x| IF( x == NIL, aTaxas[ NTXJRNOR ], aTaxas[ NTXJRNOR ] := x ) }, "aTaxas[ NTXJRNOR ]", PICT1206, COR_GET ) )</t>
  </si>
  <si>
    <t xml:space="preserve">            AADD( aGetTaxas, GETNEW( nLinhaTLP + 11, nColunaTLP + 9 + nColDesc, { |x| IF( x == NIL, aTaxas[ CPERJRNOR ], aTaxas[ CPERJRNOR ] := x ) }, "aTaxas[ CPERJRNOR ]", "A" ) )               </t>
  </si>
  <si>
    <t xml:space="preserve">            aGetTaxas[ 2 ] : PreBlock := { |oGet| Eval( { || F_pDescArray( nLinhaTLP + 11, nColunaTLP + 9 + nColDesc, aOriginal, aTaxas[ CPERJRNOR ], 6 ), FALSE } ) }</t>
  </si>
  <si>
    <t xml:space="preserve">      If lEhTLP .AND. cRotina == 'T'</t>
  </si>
  <si>
    <t xml:space="preserve">            aAdd( aGetTaxas, GETNEW( nLinhaTLP + 11, nColunaTLP + 25, { |x| IF( x == NIL, aTaxas[ NTXJRINA ], aTaxas[ NTXJRINA ] := x ) }, "aTaxas[ NTXJRINA ]", PICT1206, COR_GET ) )</t>
  </si>
  <si>
    <t xml:space="preserve">            AAdd( aGetTaxas, GETNEW( nLinhaTLP + 11, nColunaTLP + 25, { |x| IF( x == NIL, aTaxas[ NTXJRINA ], aTaxas[ NTXJRINA ] := x ) }, "aTaxas[ NTXJRINA ]", PICT1206, COR_GET ) )</t>
  </si>
  <si>
    <t xml:space="preserve">            aAdd( aGetTaxas, GETNEW( nLinhaTLP + 11, nColunaTLP + 9 + nColDesc, { |x| IF( x == NIL, aTaxas[ CPERJRINA ], aTaxas[ CPERJRINA ] := x ) }, "aTaxas[ CPERJRINA ]", "@! A" ) )   </t>
  </si>
  <si>
    <t xml:space="preserve">                                                      Eval( { || F_pDescArray( nLinhaTLP + 11, nColunaTLP + 9 + nColDesc, aOriginal, aTaxas[ CPERJRINA ], 6 ), FALSE } ), ;</t>
  </si>
  <si>
    <t xml:space="preserve">            aGetTaxas[ 4 ] : PostBlock := { || F_pDescArray( nLinhaTLP + 11, nColunaTLP + 9 + nColDesc, aOriginal, aTaxas[ CPERJRINA ], 6, TRUE )        .And. ;</t>
  </si>
  <si>
    <t xml:space="preserve">   If lEhTLP .AND. cRotina == 'T'</t>
  </si>
  <si>
    <t xml:space="preserve">      F_pRetornaTaxaPreFixadaTLP( nTxFixa, @nSpreadBNDES, nSpreadSicredi, @nTaxaPreFixada, CcrpSoli-&gt;fcPerJrNor == "M" )   </t>
  </si>
  <si>
    <t xml:space="preserve">      F_pRetornaTaxaCorrigidaTLP( nTaxaPreFixada, nIpca, @nTxCorrigida, TRUE  )</t>
  </si>
  <si>
    <t xml:space="preserve">      cScreenAnt := F_AbreJan( nLinhaTLP, nColunaTLP, nLinhaTLP + 18, nColunaTLP + 77, "Taxas" )</t>
  </si>
  <si>
    <t xml:space="preserve">      DEVPOS( nLinhaTLP + 01 , nColunaTLP + 02 ); DEVOUT( "Indexadores de Corre‡„o Monet ria" )</t>
  </si>
  <si>
    <t xml:space="preserve">      DEVPOS( nLinhaTLP + 02 , nColunaTLP + 02 ); DEVOUT( "Normal ..............:              %" )</t>
  </si>
  <si>
    <t xml:space="preserve">      DEVPOS( nLinhaTLP + 02 , nColunaTLP + 41 ); DEVOUT( "Inadimplente ....:              %" )</t>
  </si>
  <si>
    <t xml:space="preserve">      DEVPOS( nLinhaTLP + 03 , nColunaTLP      ); DEVOUT( "Ã" + REPLICATE( "Ä", 76 ) + "´" )</t>
  </si>
  <si>
    <t xml:space="preserve">      DEVPOS( nLinhaTLP + 04 , nColunaTLP + 02 ); DEVOUT( "IPCA " + dDataIPCA + " ........:              " + " (% a.m.) Öndice Vari vel" )</t>
  </si>
  <si>
    <t xml:space="preserve">      DEVPOS( nLinhaTLP + 05 , nColunaTLP + 02 ); DEVOUT( "Taxa Pre-fixada .....:              "           + " (% a.a.) Taxa Fixa"       )</t>
  </si>
  <si>
    <t xml:space="preserve">      DEVPOS( nLinhaTLP + 06 , nColunaTLP + 02 ); DEVOUT( "Spread do BNDES .....:              "           + " (% a.a.) Taxa Fixa"       )</t>
  </si>
  <si>
    <t xml:space="preserve">      DEVPOS( nLinhaTLP + 07 , nColunaTLP + 02 ); DEVOUT( "Spread do Sicredi ...:              "           + cPeriodJrs + " Taxa Fixa"   )      </t>
  </si>
  <si>
    <t xml:space="preserve">      If EXIBIR_FATOR_TLP</t>
  </si>
  <si>
    <t xml:space="preserve">         DEVPOS( nLinhaTLP + 08 , nColunaTLP + 02 ); DEVOUT( "Fator Final de Juros :              " )      </t>
  </si>
  <si>
    <t xml:space="preserve">      DEVPOS( nLinhaTLP + 04 , nColunaTLP + 25 ); DEVOUTPICT( nIpca         , PICT1206, COR_GETDES )</t>
  </si>
  <si>
    <t xml:space="preserve">      DEVPOS( nLinhaTLP + 05 , nColunaTLP + 25 ); DEVOUTPICT( nTxFixa       , PICT1206, COR_GETDES )</t>
  </si>
  <si>
    <t xml:space="preserve">      DEVPOS( nLinhaTLP + 06 , nColunaTLP + 25 ); DEVOUTPICT( nSpreadBNDES  , PICT1206, COR_GETDES )</t>
  </si>
  <si>
    <t xml:space="preserve">      DEVPOS( nLinhaTLP + 07 , nColunaTLP + 25 ); DEVOUTPICT( nSpreadSicredi, PICT1206, COR_GETDES )</t>
  </si>
  <si>
    <t xml:space="preserve">         DEVPOS( nLinhaTLP + 08 , nColunaTLP + 25 ); DEVOUTPICT( nTxCorrigida  , PICT1206, COR_GETDES )</t>
  </si>
  <si>
    <t xml:space="preserve">      DEVPOS( nLinhaTLP + 09 , nColunaTLP      ); DEVOUT( "Ã" + REPLICATE( "Ä", 76 ) + "´" )</t>
  </si>
  <si>
    <t xml:space="preserve">            DEVPOS( nLinhaTLP + 10 , nColunaTLP + 02 ); DEVOUT( "Taxa Fixa" )</t>
  </si>
  <si>
    <t xml:space="preserve">            DEVPOS( nLinhaTLP + 11 , nColunaTLP + 39 ); DEVOUT( If( aTaxas[ CPERJRINA ] = "A", "(% a.a.)", If( aTaxas[ CPERJRINA ] = "M", "(% a.m.)", "(% a.d.)" ) ) )</t>
  </si>
  <si>
    <t xml:space="preserve">            DEVPOS( nLinhaTLP + 10 , nColunaTLP + 02 ); DEVOUT( "Juros (Tx. Efetiva)                    Tipo" )</t>
  </si>
  <si>
    <t xml:space="preserve">         DEVPOS( nLinhaTLP + 11 , nColunaTLP + 02 ); DEVOUT( "Inadimplente ........: " )</t>
  </si>
  <si>
    <t xml:space="preserve">      DEVPOS( nLinhaTLP + 12 , nColunaTLP      ); DEVOUT( "Ã" + REPLICATE( "Ä", 76 ) + "´" )</t>
  </si>
  <si>
    <t xml:space="preserve">      DEVPOS( nLinhaTLP + 13 , nColunaTLP + 02 ); DEVOUT( "Outros" )</t>
  </si>
  <si>
    <t xml:space="preserve">      DEVPOS( nLinhaTLP + 14 , nColunaTLP + 02 ); DEVOUT( "IOF .................: " )</t>
  </si>
  <si>
    <t xml:space="preserve">      DEVPOS( nLinhaTLP + 15 , nColunaTLP + 02 ); DEVOUT( "PROAGRO .............: " )</t>
  </si>
  <si>
    <t xml:space="preserve">      DEVPOS( nLinhaTLP + 16 , nColunaTLP + 02 ); DEVOUT( "PROAGRO Mais ........: " )</t>
  </si>
  <si>
    <t xml:space="preserve">      DEVPOS( nLinhaTLP + 17 , nColunaTLP + 02 ); DEVOUT( "Ass. T‚cnica ........: " )</t>
  </si>
  <si>
    <t xml:space="preserve">      DEVPOS( nLinhaTLP + 14 , nColunaTLP + 41 ); DEVOUT( "Taxa Adm. .......: " )</t>
  </si>
  <si>
    <t xml:space="preserve">      DEVPOS( nLinhaTLP + 15 , nColunaTLP + 41 ); DEVOUT( "Comiss„o ........: " )</t>
  </si>
  <si>
    <t xml:space="preserve">      DEVPOS( nLinhaTLP + 16 , nColunaTLP + 41 ); DEVOUT( "Tarifa ..........: " )</t>
  </si>
  <si>
    <t xml:space="preserve">         DEVPOS( nLinhaTLP + 17 , nColunaTLP + 41 ); DEVOUT( "Multa Inad. .....: " )</t>
  </si>
  <si>
    <t xml:space="preserve">      DEVPOS( nLinhaTLP + 02 , nColunaTLP + 25 ); DEVOUT(     aTaxas[ CIDXCMNOR ],           COR_GETDES )</t>
  </si>
  <si>
    <t xml:space="preserve">      DEVPOS( nLinhaTLP + 02 , nColunaTLP + 32 ); DEVOUTPICT( aTaxas[ NPERCMNOR ], PICT0602, COR_GETDES )</t>
  </si>
  <si>
    <t xml:space="preserve">      DEVPOS( nLinhaTLP + 02 , nColunaTLP + 60 ); DEVOUT(     aTaxas[ CIDXCMINA ],           COR_GETDES )</t>
  </si>
  <si>
    <t xml:space="preserve">      DEVPOS( nLinhaTLP + 02 , nColunaTLP + 67 ); DEVOUTPICT( aTaxas[ NPERCMINA ], PICT0602, COR_GETDES )</t>
  </si>
  <si>
    <t xml:space="preserve">      DEVPOS( nLinhaTLP + 14 , nColunaTLP + 25 ); DEVOUTPICT( aTaxas[ NTXIOF    ], PICT1206, COR_GETDES )</t>
  </si>
  <si>
    <t xml:space="preserve">      DEVPOS( nLinhaTLP + 14 , nColunaTLP + 38 ); DEVOUT( "%" )</t>
  </si>
  <si>
    <t xml:space="preserve">      DEVPOS( nLinhaTLP + 15 , nColunaTLP + 25 ); DEVOUTPICT( aTaxas[ NTXPROAG  ], PICT1206, COR_GETDES )</t>
  </si>
  <si>
    <t xml:space="preserve">      DEVPOS( nLinhaTLP + 15 , nColunaTLP + 38 ); If( CcrpComp-&gt;FcTpPROA != "V", DEVOUT( "%" ), NIL )</t>
  </si>
  <si>
    <t xml:space="preserve">      DEVPOS( nLinhaTLP + 16 , nColunaTLP + 25 ); DEVOUTPICT( aTaxas[ NTXPROAGM ], PICT1206, COR_GETDES )</t>
  </si>
  <si>
    <t xml:space="preserve">      DEVPOS( nLinhaTLP + 16 , nColunaTLP + 38 ); If( CcrpComp-&gt;FcTpPROAM != "V", DEVOUT( "%" ), NIL )</t>
  </si>
  <si>
    <t xml:space="preserve">      DEVPOS( nLinhaTLP + 17 , nColunaTLP + 25 ); DEVOUTPICT( aTaxas[ NTXASSTEC ], PICT1206, COR_GETDES )</t>
  </si>
  <si>
    <t xml:space="preserve">      DEVPOS( nLinhaTLP + 17 , nColunaTLP + 38 ); If( CcrpComp-&gt;FcTpASST != "V", DEVOUT( "%" ), NIL )</t>
  </si>
  <si>
    <t xml:space="preserve">      DEVPOS( nLinhaTLP + 14 , nColunaTLP + 60 ); DEVOUTPICT( aTaxas[ NTXADM    ], PICT1206, COR_GETDES )</t>
  </si>
  <si>
    <t xml:space="preserve">      DEVPOS( nLinhaTLP + 14 , nColunaTLP + 73 ); If( CcrpComp-&gt;FcTpADM != "V", DEVOUT( "%" ), NIL )</t>
  </si>
  <si>
    <t xml:space="preserve">      DEVPOS( nLinhaTLP + 15 , nColunaTLP + 60 ); DEVOUTPICT( aTaxas[ NTXCOMISS ], PICT1206, COR_GETDES )</t>
  </si>
  <si>
    <t xml:space="preserve">      DEVPOS( nLinhaTLP + 16 , nColunaTLP + 60 ); DEVOUTPICT( aTaxas[ NTXTARIFA ], PICT1206, COR_GETDES )</t>
  </si>
  <si>
    <t xml:space="preserve">      DEVPOS( nLinhaTLP + 15 , nColunaTLP + 73 ); If( CcrpComp-&gt;FcTpCOMI != "V", DEVOUT( "%" ), NIL )</t>
  </si>
  <si>
    <t xml:space="preserve">      DEVPOS( nLinhaTLP + 16 , nColunaTLP + 73 ); If( CcrpComp-&gt;FcTpTARIFA != "V", DEVOUT( "%" ), NIL )  </t>
  </si>
  <si>
    <t xml:space="preserve">         DEVPOS( nLinhaTLP + 17 , nColunaTLP + 60 ); DEVOUTPICT( aTaxas[ NTXMLTINA ], PICT1206, COR_GETDES )</t>
  </si>
  <si>
    <t xml:space="preserve">         DEVPOS( nLinhaTLP + 17 , nColunaTLP + 73 ); If( aTaxas[ NTXMLTINA ] != "V", DEVOUT( "%" ), NIL )   </t>
  </si>
  <si>
    <t xml:space="preserve"> Ccrpccaa()</t>
  </si>
  <si>
    <t xml:space="preserve">                                 IF(F_pEhTLP(cCodFina), !F_pSolicitaTaxaTLP( aCaracProduto, aPacotePrecificacao, @nTxJrNor, CcrpTitu-&gt;FcPerJrNor, TRUE , cAssociado, dContr, TRUE ), TRUE ) .AND. ;    </t>
  </si>
  <si>
    <t xml:space="preserve">aGets[ 13 ] : PostBlock := { ||If(F_pEhTLP(cCodFina), TRUE ,;     </t>
  </si>
  <si>
    <t xml:space="preserve">aGets[ 17 ] : PreBlock  := { ||  ( lPermiteEdicao1 := ( !lCustRepa .AND. ( ( !lBNDES  .And. !F_EhProdutoBNDES( NIL, NIL, cNProduto ) ) .or. SICREDI_BANCO ) .AND.  !F_pEhTLP(cCodFina) .AND. !M-&gt;IDAGENCIA = '9803' .AND. !F_VerificaOidRegraInadimplencia(cCodTitu, NIL)), ;  </t>
  </si>
  <si>
    <t xml:space="preserve"> F_GravaAltCoop()</t>
  </si>
  <si>
    <t xml:space="preserve">    &lt; Leonardo Oliveira&gt;  6.51    13/12/2017 PJ 2292 TLP - Replicar alteracao de data da 9803 para cooperativa</t>
  </si>
  <si>
    <t xml:space="preserve"> F_GRUPO14()</t>
  </si>
  <si>
    <t xml:space="preserve">   IF F_pEhTLP( CcrpTitu-&gt;FcCodfina )</t>
  </si>
  <si>
    <t xml:space="preserve"> F_FichaCabecalho()</t>
  </si>
  <si>
    <t xml:space="preserve">LOCAL lEhTLP         := FALSE  </t>
  </si>
  <si>
    <t xml:space="preserve">LOCAL lnLinhaTLP     := 0      </t>
  </si>
  <si>
    <t xml:space="preserve">LOCAL lnColunaTLP    := 0      </t>
  </si>
  <si>
    <t>lEhTLP := F_pEhTLP( CcrpTitu-&gt;FcCodFina )</t>
  </si>
  <si>
    <t xml:space="preserve">If lEhTLP </t>
  </si>
  <si>
    <t xml:space="preserve">   lnLinhaTLP  := 0</t>
  </si>
  <si>
    <t xml:space="preserve">   lnColunaTLP := 2</t>
  </si>
  <si>
    <t xml:space="preserve">   DEVPOS( nLinhaImp,  16 + lnColunaTLP ); DEVOUT( Ccr0coop-&gt;FCodigo  )</t>
  </si>
  <si>
    <t xml:space="preserve">   DEVPOS( nLinhaImp,  24 + lnColunaTLP ); DEVOUT( Ccr0coop-&gt;FCredi   )   </t>
  </si>
  <si>
    <t xml:space="preserve">   DEVPOS( nLinhaImp,  71 + lnColunaTLP ); DEVOUT( "DATA: " )</t>
  </si>
  <si>
    <t xml:space="preserve">   DEVPOS( nLinhaImp,  77 + lnColunaTLP ); DEVOUT( CcrpPaCo-&gt;FdDtaOpen )</t>
  </si>
  <si>
    <t xml:space="preserve">   DEVPOS( nLinhaImp,  89 + lnColunaTLP ); DEVOUT( "HORA: " )</t>
  </si>
  <si>
    <t xml:space="preserve">   DEVPOS( nLinhaImp,  95 + lnColunaTLP ); DEVOUT( LEFT( TIME(), 5 ) )</t>
  </si>
  <si>
    <t xml:space="preserve">   DEVPOS( nLinhaImp, 102 + lnColunaTLP ); DEVOUT( "PAGINA: " )</t>
  </si>
  <si>
    <t xml:space="preserve">   DEVPOS( nLinhaImp, 110 + lnColunaTLP ); DEVOUT( STRZERO( nPagina, 2 ) )</t>
  </si>
  <si>
    <t xml:space="preserve">   DEVPOS( nLinhaImp, 114 + lnColunaTLP ); DEVOUT( "TITULO: " )</t>
  </si>
  <si>
    <t xml:space="preserve">   DEVPOS( nLinhaImp, 122 + lnColunaTLP ); DEVOUT( StuffCod( cCodTitu ) )</t>
  </si>
  <si>
    <t xml:space="preserve">   DEVPOS( nLinhaImp,  24 + lnColunaTLP ); DEVOUT( F_Nome( CcrpAsso-&gt;FcCodAsso, 30 ) )</t>
  </si>
  <si>
    <t xml:space="preserve">   DEVPOS( nLinhaImp,  24 + lnColunaTLP ); DEVOUT( Left( AssoProc-&gt;FNome, 30 ) )</t>
  </si>
  <si>
    <t xml:space="preserve">      If lEhTLP </t>
  </si>
  <si>
    <t xml:space="preserve">         If lEhTLP </t>
  </si>
  <si>
    <t xml:space="preserve">   If lEhTLP </t>
  </si>
  <si>
    <t xml:space="preserve">   DEVPOS( nLinhaImp,  16 + lnColunaTLP ); DEVOUT( CcrpTitu-&gt;FcCodComp )</t>
  </si>
  <si>
    <t xml:space="preserve">   DEVPOS( nLinhaImp,  16 + lnColunaTLP ); DEVOUT( CcrpTitu-&gt;FcCodFina )</t>
  </si>
  <si>
    <t xml:space="preserve">   DEVPOS( nLinhaImp,  16 + lnColunaTLP ); DEVOUT( CcrpFont-&gt;FcCodFonte )</t>
  </si>
  <si>
    <t xml:space="preserve">            DevPos( nLinhaImp,  00 ); DevOut( "COOP. ORIGEM " + Iif(lEhTLP, "..", "") + ".: " + Transform( CcrpOrig-&gt;FcCoopOrig, "@R 99999-9" ) + " - " + CcroCred-&gt;FcNome )</t>
  </si>
  <si>
    <t xml:space="preserve">            DevPos( nLinhaImp,  00 ); DevOut( "COOP. ORIGEM " + Iif(lEhTLP, "..", "") + ".: " + Transform( CcrpOrig-&gt;FcCoopOrig, "@R 99999-9" ) + " - " + Space(20) )</t>
  </si>
  <si>
    <t xml:space="preserve">            If lEhTLP </t>
  </si>
  <si>
    <t xml:space="preserve"> F_pGetDados()</t>
  </si>
  <si>
    <t xml:space="preserve">                           Para opera‡äes de TLP NÇO DEVE SER CALCULADO CM ( POR ALGUM MOTIVO DE DEUS, ELE CALCULA MESMO NÇO ESTANDO PARAMETRIZADO )*/</t>
  </si>
  <si>
    <t xml:space="preserve">                        If !F_pEhTLP( CcrpTitu-&gt;FcCodFina )</t>
  </si>
  <si>
    <t xml:space="preserve"> Fp_ProjetaJurosTLP()</t>
  </si>
  <si>
    <t>Function Fp_ProjetaJurosTLP( cCodTitu, dDtaFim )</t>
  </si>
  <si>
    <t xml:space="preserve">   cSql += "   vs_nRetorno := CRED_APP_OWNER.pkg_ccrp_processamento.Fnc_ProjetaJurosTLP( pi_Agencia         =&gt; :1    "</t>
  </si>
  <si>
    <t>ARQUIVO FONTE</t>
  </si>
  <si>
    <t>LINHA</t>
  </si>
  <si>
    <t xml:space="preserve">FUNCAO </t>
  </si>
  <si>
    <t>CONTEUDO</t>
  </si>
  <si>
    <t xml:space="preserve"> COLUNA</t>
  </si>
  <si>
    <t>ccrpbmb.prg</t>
  </si>
  <si>
    <t>ccrpcgh.prg</t>
  </si>
  <si>
    <t>ccrpcwa.prg</t>
  </si>
  <si>
    <t>ccrpfbj.prg</t>
  </si>
  <si>
    <t>ccrpffgd.prg</t>
  </si>
  <si>
    <t>main.prg</t>
  </si>
  <si>
    <t>pkgi_ccrp_arquivo_bacen.pkb</t>
  </si>
  <si>
    <t>pkgi_ccrp_arquivo_bacen.pks</t>
  </si>
  <si>
    <t>pkgi_ccrp_arquivo_brde.pkb</t>
  </si>
  <si>
    <t>pkgi_ccrp_arquivo_brde.pks</t>
  </si>
  <si>
    <t>pkgi_ccrp_arquivo_cop.pkb</t>
  </si>
  <si>
    <t>pkgi_ccrp_arquivo_cop.pks</t>
  </si>
  <si>
    <t>pkgi_ccrp_associado.pkb</t>
  </si>
  <si>
    <t>pkgi_ccrp_associado.pks</t>
  </si>
  <si>
    <t>pkgi_ccrp_cadastro.pkb</t>
  </si>
  <si>
    <t>pkgi_ccrp_cadastro.pks</t>
  </si>
  <si>
    <t>pkgi_ccrp_calculo.pkb</t>
  </si>
  <si>
    <t>pkgi_ccrp_calculo.pks</t>
  </si>
  <si>
    <t>pkgi_ccrp_calculo_cet.pkb</t>
  </si>
  <si>
    <t>pkgi_ccrp_calculo_cet.pks</t>
  </si>
  <si>
    <t>pkgi_ccrp_calculo_cm.pkb</t>
  </si>
  <si>
    <t>pkgi_ccrp_calculo_cm.pks</t>
  </si>
  <si>
    <t>pkgi_ccrp_calculo_juros.pkb</t>
  </si>
  <si>
    <t>pkgi_ccrp_calculo_juros.pks</t>
  </si>
  <si>
    <t>pkgi_ccrp_calculo_parcelas.pkb</t>
  </si>
  <si>
    <t>pkgi_ccrp_calculo_parcelas.pks</t>
  </si>
  <si>
    <t>pkgi_ccrp_canais.pkb</t>
  </si>
  <si>
    <t>pkgi_ccrp_canais.pks</t>
  </si>
  <si>
    <t>pkgi_ccrp_carac_operacao.pkb</t>
  </si>
  <si>
    <t>pkgi_ccrp_carac_operacao.pks</t>
  </si>
  <si>
    <t>pkgi_ccrp_carac_produto.pkb</t>
  </si>
  <si>
    <t>pkgi_ccrp_carac_produto.pks</t>
  </si>
  <si>
    <t>pkgi_ccrp_const_arquivo_eletr.pks</t>
  </si>
  <si>
    <t>pkgi_ccrp_const_cadastro.pks</t>
  </si>
  <si>
    <t>pkgi_ccrp_const_calculo.pks</t>
  </si>
  <si>
    <t>pkgi_ccrp_const_contabil.pks</t>
  </si>
  <si>
    <t>pkgi_ccrp_const_erro.pks</t>
  </si>
  <si>
    <t>pkgi_ccrp_const_movimento.pks</t>
  </si>
  <si>
    <t>pkgi_ccrp_const_operacao.pks</t>
  </si>
  <si>
    <t>pkgi_ccrp_const_prod.pks</t>
  </si>
  <si>
    <t>pkgi_ccrp_const_spc.pks</t>
  </si>
  <si>
    <t>pkgi_ccrp_const_util.pks</t>
  </si>
  <si>
    <t>pkgi_ccrp_contabil.pkb</t>
  </si>
  <si>
    <t>pkgi_ccrp_contabil.pks</t>
  </si>
  <si>
    <t>pkgi_ccrp_contratacao.pkb</t>
  </si>
  <si>
    <t>pkgi_ccrp_contratacao.pks</t>
  </si>
  <si>
    <t>pkgi_ccrp_controle_pj_piloto.pkb</t>
  </si>
  <si>
    <t>pkgi_ccrp_controle_pj_piloto.pks</t>
  </si>
  <si>
    <t>pkgi_ccrp_credito_veiculos.pkb</t>
  </si>
  <si>
    <t>pkgi_ccrp_credito_veiculos.pks</t>
  </si>
  <si>
    <t>pkgi_ccrp_cyber.pkb</t>
  </si>
  <si>
    <t>pkgi_ccrp_cyber.pks</t>
  </si>
  <si>
    <t>pkgi_ccrp_dados_proposta.pkb</t>
  </si>
  <si>
    <t>pkgi_ccrp_dados_proposta.pks</t>
  </si>
  <si>
    <t>pkgi_ccrp_desconto.pkb</t>
  </si>
  <si>
    <t>pkgi_ccrp_desconto.pks</t>
  </si>
  <si>
    <t>pkgi_ccrp_erros.pkb</t>
  </si>
  <si>
    <t>pkgi_ccrp_erros.pks</t>
  </si>
  <si>
    <t>pkgi_ccrp_fianca.pkb</t>
  </si>
  <si>
    <t>pkgi_ccrp_fianca.pks</t>
  </si>
  <si>
    <t>pkgi_ccrp_gravacao.pkb</t>
  </si>
  <si>
    <t>pkgi_ccrp_gravacao.pks</t>
  </si>
  <si>
    <t>pkgi_ccrp_info_doc3040.pkb</t>
  </si>
  <si>
    <t>pkgi_ccrp_info_doc3040.pks</t>
  </si>
  <si>
    <t>pkgi_ccrp_interfaces.pkb</t>
  </si>
  <si>
    <t>pkgi_ccrp_interfaces.pks</t>
  </si>
  <si>
    <t>pkgi_ccrp_legado.pkb</t>
  </si>
  <si>
    <t>pkgi_ccrp_legado.pks</t>
  </si>
  <si>
    <t>pkgi_ccrp_libera_rural.pkb</t>
  </si>
  <si>
    <t>pkgi_ccrp_libera_rural.pks</t>
  </si>
  <si>
    <t>pkgi_ccrp_liquidacao.pkb</t>
  </si>
  <si>
    <t>pkgi_ccrp_liquidacao.pks</t>
  </si>
  <si>
    <t>pkgi_ccrp_mda.pkb</t>
  </si>
  <si>
    <t>pkgi_ccrp_mda.pks</t>
  </si>
  <si>
    <t>pkgi_ccrp_movimento.pkb</t>
  </si>
  <si>
    <t>pkgi_ccrp_movimento.pks</t>
  </si>
  <si>
    <t>pkgi_ccrp_processamento.pkb</t>
  </si>
  <si>
    <t>pkgi_ccrp_processamento.pks</t>
  </si>
  <si>
    <t>pkgi_ccrp_recor.pkb</t>
  </si>
  <si>
    <t>pkgi_ccrp_recor.pks</t>
  </si>
  <si>
    <t>pkgi_ccrp_rel_liquidacao.pkb</t>
  </si>
  <si>
    <t>pkgi_ccrp_rel_liquidacao.pks</t>
  </si>
  <si>
    <t>pkgi_ccrp_rendas.pkb</t>
  </si>
  <si>
    <t>pkgi_ccrp_rendas.pks</t>
  </si>
  <si>
    <t>pkgi_ccrp_renegociacao.pkb</t>
  </si>
  <si>
    <t>pkgi_ccrp_renegociacao.pks</t>
  </si>
  <si>
    <t>pkgi_ccrp_seguro.pkb</t>
  </si>
  <si>
    <t>pkgi_ccrp_seguro.pks</t>
  </si>
  <si>
    <t>pkgi_ccrp_spc_serasa.pkb</t>
  </si>
  <si>
    <t>pkgi_ccrp_spc_serasa.pks</t>
  </si>
  <si>
    <t>pkgi_ccrp_type.pks</t>
  </si>
  <si>
    <t>pkgi_ccrp_util.pck</t>
  </si>
  <si>
    <t>pkgi_ccrp_util.pkb</t>
  </si>
  <si>
    <t>pkgi_ccrp_util.pks</t>
  </si>
  <si>
    <t>pkgi_ccrp_valida_oper.pkb</t>
  </si>
  <si>
    <t>pkgi_ccrp_valida_oper.pks</t>
  </si>
  <si>
    <t>pkgi_ccrp_view_financials.pkb</t>
  </si>
  <si>
    <t>pkgi_ccrp_view_financials.pks</t>
  </si>
  <si>
    <t>pkgl_ccrp_antecipacao_cartoes.pkb</t>
  </si>
  <si>
    <t>pkgl_ccrp_antecipacao_cartoes.pks</t>
  </si>
  <si>
    <t>pkgl_ccrp_atualizacao.pkb</t>
  </si>
  <si>
    <t>pkgl_ccrp_atualizacao.pks</t>
  </si>
  <si>
    <t>pkgl_ccrp_calculo.pkb</t>
  </si>
  <si>
    <t>pkgl_ccrp_calculo.pks</t>
  </si>
  <si>
    <t>pkgl_ccrp_canais.pkb</t>
  </si>
  <si>
    <t>pkgl_ccrp_canais.pks</t>
  </si>
  <si>
    <t>pkgl_ccrp_carac_operacao.pkb</t>
  </si>
  <si>
    <t>pkgl_ccrp_carac_operacao.pks</t>
  </si>
  <si>
    <t>pkgl_ccrp_ch.pck</t>
  </si>
  <si>
    <t>pkgl_ccrp_ch.pkb</t>
  </si>
  <si>
    <t>pkgl_ccrp_ch.pks</t>
  </si>
  <si>
    <t>pkgl_ccrp_consorcio.pkb</t>
  </si>
  <si>
    <t>pkgl_ccrp_consorcio.pks</t>
  </si>
  <si>
    <t>pkgl_ccrp_contrato.pkb</t>
  </si>
  <si>
    <t>pkgl_ccrp_contrato.pks</t>
  </si>
  <si>
    <t>pkgl_ccrp_credito_imobiliario.pkb</t>
  </si>
  <si>
    <t>pkgl_ccrp_credito_imobiliario.pks</t>
  </si>
  <si>
    <t>pkgl_ccrp_cyber.pkb</t>
  </si>
  <si>
    <t>pkgl_ccrp_cyber.pks</t>
  </si>
  <si>
    <t>pkgl_ccrp_gravacao.pkb</t>
  </si>
  <si>
    <t>pkgl_ccrp_gravacao.pks</t>
  </si>
  <si>
    <t>pkgl_ccrp_log.pkb</t>
  </si>
  <si>
    <t>pkgl_ccrp_log.pks</t>
  </si>
  <si>
    <t>pkgl_ccrp_pgpaf.pkb</t>
  </si>
  <si>
    <t>pkgl_ccrp_pgpaf.pks</t>
  </si>
  <si>
    <t>pkgl_ccrp_produto.pkb</t>
  </si>
  <si>
    <t>pkgl_ccrp_produto.pks</t>
  </si>
  <si>
    <t>pkgl_ccrp_publica.pkb</t>
  </si>
  <si>
    <t>pkgl_ccrp_publica.pks</t>
  </si>
  <si>
    <t>pkgl_ccrp_recor.pkb</t>
  </si>
  <si>
    <t>pkgl_ccrp_recor.pks</t>
  </si>
  <si>
    <t>pkgl_ccrp_renegociacao.pkb</t>
  </si>
  <si>
    <t>pkgl_ccrp_renegociacao.pks</t>
  </si>
  <si>
    <t>pkgl_ccrp_seguro.pkb</t>
  </si>
  <si>
    <t>pkgl_ccrp_seguro.pks</t>
  </si>
  <si>
    <t>pkgl_ccrp_sessao.pkb</t>
  </si>
  <si>
    <t>pkgl_ccrp_sessao.pks</t>
  </si>
  <si>
    <t>pkgl_ccrp_simulacao.pkb</t>
  </si>
  <si>
    <t>pkgl_ccrp_simulacao.pks</t>
  </si>
  <si>
    <t>pkgl_ccrp_solicitacao.pkb</t>
  </si>
  <si>
    <t>pkgl_ccrp_solicitacao.pks</t>
  </si>
  <si>
    <t>pkgl_ccrp_spc_serasa.pkb</t>
  </si>
  <si>
    <t>pkgl_ccrp_spc_serasa.pks</t>
  </si>
  <si>
    <t>pkgl_ccrp_type.pks</t>
  </si>
  <si>
    <t>pkgl_ccrp_util.pkb</t>
  </si>
  <si>
    <t>pkgl_ccrp_util.pks</t>
  </si>
  <si>
    <t>pkgl_ccrp_valida_oper.pkb</t>
  </si>
  <si>
    <t>pkgl_ccrp_valida_oper.pks</t>
  </si>
  <si>
    <t>pkgn_ccrp_associado.pkb</t>
  </si>
  <si>
    <t>pkgn_ccrp_associado.pks</t>
  </si>
  <si>
    <t>pkgn_ccrp_dados_proposta.pkb</t>
  </si>
  <si>
    <t>pkgn_ccrp_dados_proposta.pks</t>
  </si>
  <si>
    <t>pkgn_ccrp_padronizacao.pkb</t>
  </si>
  <si>
    <t>pkgn_ccrp_padronizacao.pks</t>
  </si>
  <si>
    <t>pkgn_ccrp_seguro.pkb</t>
  </si>
  <si>
    <t>pkgn_ccrp_seguro.pks</t>
  </si>
  <si>
    <t>pkgn_ccrp_view_financials.pkb</t>
  </si>
  <si>
    <t>pkgn_ccrp_view_financials.pks</t>
  </si>
  <si>
    <t>pkg_ccrp_antecipacao_cartoes.pkb</t>
  </si>
  <si>
    <t>pkg_ccrp_antecipacao_cartoes.pks</t>
  </si>
  <si>
    <t>pkg_ccrp_arquivo_eletronico.pkb</t>
  </si>
  <si>
    <t>pkg_ccrp_arquivo_eletronico.pks</t>
  </si>
  <si>
    <t>pkg_ccrp_atualizacao.pkb</t>
  </si>
  <si>
    <t>pkg_ccrp_atualizacao.pks</t>
  </si>
  <si>
    <t>pkg_ccrp_calculo.pkb</t>
  </si>
  <si>
    <t>pkg_ccrp_calculo.pks</t>
  </si>
  <si>
    <t>pkg_ccrp_calculo_cet.pkb</t>
  </si>
  <si>
    <t>pkg_ccrp_calculo_cet.pks</t>
  </si>
  <si>
    <t>pkg_ccrp_calculo_juros.pkb</t>
  </si>
  <si>
    <t>pkg_ccrp_calculo_juros.pks</t>
  </si>
  <si>
    <t>pkg_ccrp_canais.pkb</t>
  </si>
  <si>
    <t>pkg_ccrp_canais.pks</t>
  </si>
  <si>
    <t>pkg_ccrp_carac_operacao.pkb</t>
  </si>
  <si>
    <t>pkg_ccrp_carac_operacao.pks</t>
  </si>
  <si>
    <t>pkg_ccrp_carac_produto.pkb</t>
  </si>
  <si>
    <t>pkg_ccrp_carac_produto.pks</t>
  </si>
  <si>
    <t>pkg_ccrp_consorcio.pkb</t>
  </si>
  <si>
    <t>pkg_ccrp_consorcio.pks</t>
  </si>
  <si>
    <t>pkg_ccrp_contabil.pkb</t>
  </si>
  <si>
    <t>pkg_ccrp_contabil.pks</t>
  </si>
  <si>
    <t>pkg_ccrp_contratacao.pkb</t>
  </si>
  <si>
    <t>pkg_ccrp_contratacao.pks</t>
  </si>
  <si>
    <t>pkg_ccrp_contrato.pkb</t>
  </si>
  <si>
    <t>pkg_ccrp_contrato.pks</t>
  </si>
  <si>
    <t>pkg_ccrp_controle_pj_piloto.pkb</t>
  </si>
  <si>
    <t>pkg_ccrp_controle_pj_piloto.pks</t>
  </si>
  <si>
    <t>pkg_ccrp_credito_imobiliario.pkb</t>
  </si>
  <si>
    <t>pkg_ccrp_credito_imobiliario.pks</t>
  </si>
  <si>
    <t>pkg_ccrp_credito_veiculos.pkb</t>
  </si>
  <si>
    <t>pkg_ccrp_credito_veiculos.pks</t>
  </si>
  <si>
    <t>pkg_ccrp_cyber.pkb</t>
  </si>
  <si>
    <t>pkg_ccrp_cyber.pks</t>
  </si>
  <si>
    <t>pkg_ccrp_fianca.pkb</t>
  </si>
  <si>
    <t>pkg_ccrp_fianca.pks</t>
  </si>
  <si>
    <t>pkg_ccrp_gravacao.pkb</t>
  </si>
  <si>
    <t>pkg_ccrp_gravacao.pks</t>
  </si>
  <si>
    <t>pkg_ccrp_info_doc3040.pkb</t>
  </si>
  <si>
    <t>pkg_ccrp_info_doc3040.pks</t>
  </si>
  <si>
    <t>pkg_ccrp_interfaces.pkb</t>
  </si>
  <si>
    <t>pkg_ccrp_interfaces.pks</t>
  </si>
  <si>
    <t>pkg_ccrp_libera_rural.pkb</t>
  </si>
  <si>
    <t>pkg_ccrp_libera_rural.pks</t>
  </si>
  <si>
    <t>pkg_ccrp_log.pkb</t>
  </si>
  <si>
    <t>pkg_ccrp_log.pks</t>
  </si>
  <si>
    <t>pkg_ccrp_mda.pkb</t>
  </si>
  <si>
    <t>pkg_ccrp_mda.pks</t>
  </si>
  <si>
    <t>pkg_ccrp_movimento.pkb</t>
  </si>
  <si>
    <t>pkg_ccrp_movimento.pks</t>
  </si>
  <si>
    <t>pkg_ccrp_processamento.pkb</t>
  </si>
  <si>
    <t>pkg_ccrp_processamento.pks</t>
  </si>
  <si>
    <t>pkg_ccrp_produto.pkb</t>
  </si>
  <si>
    <t>pkg_ccrp_produto.pks</t>
  </si>
  <si>
    <t>pkg_ccrp_recor.pkb</t>
  </si>
  <si>
    <t>pkg_ccrp_recor.pks</t>
  </si>
  <si>
    <t>pkg_ccrp_renegociacao.pkb</t>
  </si>
  <si>
    <t>pkg_ccrp_renegociacao.pks</t>
  </si>
  <si>
    <t>pkg_ccrp_scoring.pkb</t>
  </si>
  <si>
    <t>pkg_ccrp_scoring.pks</t>
  </si>
  <si>
    <t>pkg_ccrp_seguro.pkb</t>
  </si>
  <si>
    <t>pkg_ccrp_seguro.pks</t>
  </si>
  <si>
    <t>pkg_ccrp_util.pkb</t>
  </si>
  <si>
    <t>pkg_ccrp_util.pks</t>
  </si>
  <si>
    <t>pkg_ccrp_valida_exclusao_bem.pkb</t>
  </si>
  <si>
    <t>pkg_ccrp_valida_exclusao_bem.pks</t>
  </si>
  <si>
    <t>pkg_ccrp_valida_oper.pkb</t>
  </si>
  <si>
    <t>pkg_ccrp_valida_oper.pks</t>
  </si>
  <si>
    <t>pkg_ccrp_view_financials.pkb</t>
  </si>
  <si>
    <t>pkg_ccrp_view_financials.pks</t>
  </si>
  <si>
    <t>rtreenvdina.prg</t>
  </si>
  <si>
    <t>stubs.prg</t>
  </si>
  <si>
    <t>teste_rtpfun.prg</t>
  </si>
  <si>
    <t>__svc_ini.prg</t>
  </si>
  <si>
    <t xml:space="preserve"> F_RetornaTaxas()</t>
  </si>
  <si>
    <t xml:space="preserve">Local lEhTLP </t>
  </si>
  <si>
    <t xml:space="preserve">lEhTLP          :=  F_pEhTLP( CcrpTitu-&gt;FcCodFina ) </t>
  </si>
  <si>
    <t xml:space="preserve">   AADD( aTitulo, " Juros normais .............:           TLP "  )</t>
  </si>
  <si>
    <t xml:space="preserve">   If aDadosTaxa[1,3] = "S" .AND. !Empty(aDadosTaxa[1,1])   .and. !lEhTLP    </t>
  </si>
  <si>
    <t xml:space="preserve">   ElseIf aDadosTaxa[1,3] = "S" .AND. !Empty(aDadosTaxa[1,1])  .and. lEhTLP     </t>
  </si>
  <si>
    <t xml:space="preserve">      AADD( aTitulo, " Juros inadimplentes .......:   TLP +"+ Transform(nTaxaComposta, "@E 999.99") +" % "+ cPerJrIna  )</t>
  </si>
  <si>
    <t xml:space="preserve">   ElseIf aDadosTaxa[1,3] = "N" .and. lEhTLP     </t>
  </si>
  <si>
    <t xml:space="preserve">      AADD( aTitulo, " Juros inadimplentes .......:           TLP " ) </t>
  </si>
  <si>
    <t xml:space="preserve"> fnci_valor_juros()</t>
  </si>
  <si>
    <t xml:space="preserve">            vs_nvalor_juros := FNCI_Calcula_Juros_TLP( pr_Titulo         =&gt; pr_titulo</t>
  </si>
  <si>
    <t xml:space="preserve">            vs_nvalor_juros := Fnci_Calcula_Inadimplencia_TLP( pr_Titulo         =&gt; pr_titulo</t>
  </si>
  <si>
    <t xml:space="preserve"> FNCI_Juros_Inadimplencia()</t>
  </si>
  <si>
    <t xml:space="preserve">     Funcao ........: FNCI_Calcula_Juros_TLP</t>
  </si>
  <si>
    <t xml:space="preserve"> FNCI_Calcula_Juros_TLP()</t>
  </si>
  <si>
    <t xml:space="preserve">   Function FNCI_Calcula_Juros_TLP( pr_Titulo         In PKGI_CCRP_TYPE.gc_titulo%RowType</t>
  </si>
  <si>
    <t xml:space="preserve">      vs_nValorJurosTLP         Number;</t>
  </si>
  <si>
    <t xml:space="preserve">      vs_rEncargoDiarioFatorTLP Pkgi_Ccrp_Type.gr_rEncargoDiarioFatorTLP;</t>
  </si>
  <si>
    <t xml:space="preserve">         vs_rEncargoDiarioFatorTLP.DATA_CALCULO         := Nvl( pkgi_ccrp_processamento.pr_encargo_diario.DAT_MOVIMENTO, pi_dDtaAtual );</t>
  </si>
  <si>
    <t xml:space="preserve">         vs_rEncargoDiarioFatorTLP.DATA_REFERENCIA_IPCA := pi_dDtaUltCap;</t>
  </si>
  <si>
    <t xml:space="preserve">         vs_rEncargoDiarioFatorTLP.OID_OPERACAO         := pr_Titulo.FnOidOper;</t>
  </si>
  <si>
    <t xml:space="preserve">         vs_rEncargoDiarioFatorTLP.NUM_AGENCIA          := pr_Titulo.Num_Agencia;</t>
  </si>
  <si>
    <t xml:space="preserve">         vs_nValorJurosTLP := FNCI_Calcula_TLP( pi_nCapital               =&gt; pi_nBaseCalculo        </t>
  </si>
  <si>
    <t xml:space="preserve">                                              , pr_rEncargoDiarioFatorTLP =&gt; vs_rEncargoDiarioFatorTLP );</t>
  </si>
  <si>
    <t xml:space="preserve">         Prci_Salva_Info_TLP( pr_rEncargoDiarioFatorTLP =&gt; vs_rEncargoDiarioFatorTLP );</t>
  </si>
  <si>
    <t xml:space="preserve">      Return vs_nValorJurosTLP;</t>
  </si>
  <si>
    <t xml:space="preserve">                                                                       ,'FNCI_Calcula_Juros_TLP');</t>
  </si>
  <si>
    <t xml:space="preserve">                                                                 ,'FNCI_Calcula_Juros_TLP'</t>
  </si>
  <si>
    <t xml:space="preserve">   End FNCI_Calcula_Juros_TLP;</t>
  </si>
  <si>
    <t xml:space="preserve"> FNCI_BuscaTaxaIPCA()</t>
  </si>
  <si>
    <t xml:space="preserve">     Funcao ........: FNCI_Calcula_TLP</t>
  </si>
  <si>
    <t xml:space="preserve"> FNCI_Calcula_TLP()</t>
  </si>
  <si>
    <t xml:space="preserve">   Function FNCI_Calcula_TLP( pi_nCapital               In Number   </t>
  </si>
  <si>
    <t xml:space="preserve">                            , pr_rEncargoDiarioFatorTLP In Out Pkgi_Ccrp_Type.gr_rEncargoDiarioFatorTLP )</t>
  </si>
  <si>
    <t xml:space="preserve">   vs_nCalculoTLP         Number(38,16);</t>
  </si>
  <si>
    <t xml:space="preserve">      vs_nCalculoTLP     := pi_nCapital * vs_nFatorFinal ;      </t>
  </si>
  <si>
    <t xml:space="preserve">      pr_rEncargoDiarioFatorTLP.FATOR_SPREAD_SICREDI  := vs_nFatorSpreadSicredi;</t>
  </si>
  <si>
    <t xml:space="preserve">      pr_rEncargoDiarioFatorTLP.FATOR_SPREAD_BNDES    := vs_nFatorSpreadBNDES;      </t>
  </si>
  <si>
    <t xml:space="preserve">      pr_rEncargoDiarioFatorTLP.FATOR_TAXA_PRE_FIXADA := vs_nFatorFixa;</t>
  </si>
  <si>
    <t xml:space="preserve">      pr_rEncargoDiarioFatorTLP.FATOR_IPCA            := vs_nFatorIPCA;</t>
  </si>
  <si>
    <t xml:space="preserve">      pr_rEncargoDiarioFatorTLP.NUM_DIAS_UTEIS_MES    := pi_nQtdeTotalDias;</t>
  </si>
  <si>
    <t xml:space="preserve">      pr_rEncargoDiarioFatorTLP.FATOR_FINAL_APLICADO  := vs_nFatorFinal;</t>
  </si>
  <si>
    <t xml:space="preserve">      pkgi_ccrp_processamento.pr_Encargo_Diario.DAT_INDEXADOR  := pr_rEncargoDiarioFatorTLP.DATA_REFERENCIA_IPCA;</t>
  </si>
  <si>
    <t xml:space="preserve">      Return vs_nCalculoTLP;         </t>
  </si>
  <si>
    <t xml:space="preserve">                                                                       ,'FNCI_Calcula_TLP');</t>
  </si>
  <si>
    <t xml:space="preserve">                                                                 ,'FNCI_Calcula_TLP'</t>
  </si>
  <si>
    <t xml:space="preserve">   End FNCI_Calcula_TLP;</t>
  </si>
  <si>
    <t xml:space="preserve">     Funcao ........: Prci_Salva_Info_TLP</t>
  </si>
  <si>
    <t xml:space="preserve">   Procedure Prci_Salva_Info_TLP( pr_rEncargoDiarioFatorTLP In Pkgi_Ccrp_Type.gr_rEncargoDiarioFatorTLP )</t>
  </si>
  <si>
    <t xml:space="preserve">        FROM ENCARGO_DIARIO_FATOR_TLP</t>
  </si>
  <si>
    <t xml:space="preserve">       WHERE OID_OPERACAO = pr_rEncargoDiarioFatorTLP.OID_OPERACAO</t>
  </si>
  <si>
    <t xml:space="preserve">         AND NUM_AGENCIA  = pr_rEncargoDiarioFatorTLP.NUM_AGENCIA</t>
  </si>
  <si>
    <t xml:space="preserve">         AND DAT_CALCULO  = pr_rEncargoDiarioFatorTLP.DATA_CALCULO;        </t>
  </si>
  <si>
    <t xml:space="preserve">         INSERT INTO CRED_OWNER.ENCARGO_DIARIO_FATOR_TLP</t>
  </si>
  <si>
    <t xml:space="preserve">                 ( pr_rEncargoDiarioFatorTLP.OID_OPERACAO</t>
  </si>
  <si>
    <t xml:space="preserve">                 , pr_rEncargoDiarioFatorTLP.NUM_AGENCIA</t>
  </si>
  <si>
    <t xml:space="preserve">                 , pr_rEncargoDiarioFatorTLP.DATA_CALCULO</t>
  </si>
  <si>
    <t xml:space="preserve">                 , pr_rEncargoDiarioFatorTLP.FATOR_SPREAD_SICREDI</t>
  </si>
  <si>
    <t xml:space="preserve">                 , pr_rEncargoDiarioFatorTLP.FATOR_SPREAD_BNDES</t>
  </si>
  <si>
    <t xml:space="preserve">                 , pr_rEncargoDiarioFatorTLP.FATOR_TAXA_PRE_FIXADA</t>
  </si>
  <si>
    <t xml:space="preserve">                 , pr_rEncargoDiarioFatorTLP.FATOR_IPCA</t>
  </si>
  <si>
    <t xml:space="preserve">                 , pr_rEncargoDiarioFatorTLP.NUM_DIAS_UTEIS_MES</t>
  </si>
  <si>
    <t xml:space="preserve">                 , pr_rEncargoDiarioFatorTLP.FATOR_FINAL_APLICADO</t>
  </si>
  <si>
    <t xml:space="preserve">                 , pr_rEncargoDiarioFatorTLP.DATA_REFERENCIA_IPCA );</t>
  </si>
  <si>
    <t xml:space="preserve">         PKGI_CCRP_ERROS.Prci_Adiciona_Detalhe( 'OID_OPERACAO'         , pr_rEncargoDiarioFatorTLP.OID_OPERACAO          );</t>
  </si>
  <si>
    <t xml:space="preserve">         PKGI_CCRP_ERROS.Prci_Adiciona_Detalhe( 'NUM_AGENCIA'          , pr_rEncargoDiarioFatorTLP.NUM_AGENCIA           );</t>
  </si>
  <si>
    <t xml:space="preserve">         PKGI_CCRP_ERROS.Prci_Adiciona_Detalhe( 'DATA_CALCULO'         , pr_rEncargoDiarioFatorTLP.DATA_CALCULO          );</t>
  </si>
  <si>
    <t xml:space="preserve">         PKGI_CCRP_ERROS.Prci_Adiciona_Detalhe( 'FATOR_SPREAD_SICREDI' , pr_rEncargoDiarioFatorTLP.FATOR_SPREAD_SICREDI  );</t>
  </si>
  <si>
    <t xml:space="preserve">         PKGI_CCRP_ERROS.Prci_Adiciona_Detalhe( 'FATOR_SPREAD_BNDES'   , pr_rEncargoDiarioFatorTLP.FATOR_SPREAD_BNDES    );</t>
  </si>
  <si>
    <t xml:space="preserve">         PKGI_CCRP_ERROS.Prci_Adiciona_Detalhe( 'FATOR_TAXA_PRE_FIXADA', pr_rEncargoDiarioFatorTLP.FATOR_TAXA_PRE_FIXADA );</t>
  </si>
  <si>
    <t xml:space="preserve">         PKGI_CCRP_ERROS.Prci_Adiciona_Detalhe( 'FATOR_IPCA'           , pr_rEncargoDiarioFatorTLP.FATOR_IPCA            );</t>
  </si>
  <si>
    <t xml:space="preserve">         PKGI_CCRP_ERROS.Prci_Adiciona_Detalhe( 'NUM_DIAS_UTEIS_MES'   , pr_rEncargoDiarioFatorTLP.NUM_DIAS_UTEIS_MES    );</t>
  </si>
  <si>
    <t xml:space="preserve">         PKGI_CCRP_ERROS.Prci_Adiciona_Detalhe( 'FATOR_FINAL_APLICADO' , pr_rEncargoDiarioFatorTLP.FATOR_FINAL_APLICADO  );</t>
  </si>
  <si>
    <t xml:space="preserve">         PKGI_CCRP_ERROS.Prci_Adiciona_Detalhe( 'DATA_REFERENCIA_IPCA' , pr_rEncargoDiarioFatorTLP.DATA_REFERENCIA_IPCA  );</t>
  </si>
  <si>
    <t xml:space="preserve">                                                                       ,'Prci_Salva_Info_TLP');</t>
  </si>
  <si>
    <t xml:space="preserve">   End Prci_Salva_Info_TLP;</t>
  </si>
  <si>
    <t xml:space="preserve"> FNCI_BuscaTaxasFixasBNDES()</t>
  </si>
  <si>
    <t xml:space="preserve">     Funcao ........: Fnci_Calcula_Inadimplencia_TLP</t>
  </si>
  <si>
    <t xml:space="preserve"> Fnci_Calcula_Inadimplencia_TLP()</t>
  </si>
  <si>
    <t xml:space="preserve">   Function Fnci_Calcula_Inadimplencia_TLP( pr_Titulo         In PKGI_CCRP_TYPE.gc_titulo%RowType</t>
  </si>
  <si>
    <t xml:space="preserve">        O calculo de inadimplencia da TLP eh beeeeeeeeeeeeem simples, calcula o valor de NORMALIDADE da TLP</t>
  </si>
  <si>
    <t xml:space="preserve">         vs_nVlrJurosNormalidade := FNCI_Calcula_Juros_TLP( pr_Titulo         =&gt; pr_Titulo        </t>
  </si>
  <si>
    <t xml:space="preserve">                                                                       ,'Fnci_Calcula_Inadimplencia_TLP');</t>
  </si>
  <si>
    <t xml:space="preserve">                                                                 ,'Fnci_Calcula_Inadimplencia_TLP'</t>
  </si>
  <si>
    <t xml:space="preserve">   End Fnci_Calcula_Inadimplencia_TLP;                         </t>
  </si>
  <si>
    <t xml:space="preserve">   Procedure Prci_Salva_Info_TLP( pr_rEncargoDiarioFatorTLP In Pkgi_Ccrp_Type.gr_rEncargoDiarioFatorTLP );</t>
  </si>
  <si>
    <t xml:space="preserve">   gs_Sigla_IPCA                 Constant Char(3) := 'TLP';</t>
  </si>
  <si>
    <t xml:space="preserve">         Opera‡äes de TLP apenas calculam pela encargo_diario*/</t>
  </si>
  <si>
    <t xml:space="preserve">            Opera‡äes de TLP devem ser arredondadas na segunda casa */</t>
  </si>
  <si>
    <t xml:space="preserve">               Opera‡äes de TLP devem ser arredondadas na segunda casa */</t>
  </si>
  <si>
    <t xml:space="preserve">                  Opera‡äes de TLP devem ser arredondadas na segunda casa */</t>
  </si>
  <si>
    <t xml:space="preserve">               Opera‡äes de TLP nÆo devem calcular o em dia nÆo £til por isso essa loucura toda */</t>
  </si>
  <si>
    <t xml:space="preserve">                                 vs_nValor_Juros_Acum := Fnci_Calc_Encargo_Diario_TLP( pr_Titulo            =&gt;  vr_Titulo           </t>
  </si>
  <si>
    <t xml:space="preserve"> Fnci_Calc_Encargo_Diario_TJLP()</t>
  </si>
  <si>
    <t xml:space="preserve">     Funcao ........: Fnci_Calc_Encargo_Diario_TLP</t>
  </si>
  <si>
    <t xml:space="preserve"> Fnci_Calc_Encargo_Diario_TLP()</t>
  </si>
  <si>
    <t xml:space="preserve">   Function Fnci_Calc_Encargo_Diario_TLP( pr_Titulo             In PKGI_CCRP_TYPE.gc_titulo%RowType           </t>
  </si>
  <si>
    <t xml:space="preserve">                                                                       ,'Fnci_Calc_Encargo_Diario_TLP');</t>
  </si>
  <si>
    <t xml:space="preserve">                                                                 ,'Fnci_Calc_Encargo_Diario_TLP'</t>
  </si>
  <si>
    <t xml:space="preserve">   End Fnci_Calc_Encargo_Diario_TLP;</t>
  </si>
  <si>
    <t xml:space="preserve"> Fnci_ProjetaJurosTLP()</t>
  </si>
  <si>
    <t xml:space="preserve">   Function Fnci_ProjetaJurosTLP( pi_cCodCooperativa In Varchar2</t>
  </si>
  <si>
    <t xml:space="preserve">                                                                       ,'Fnci_ProjetaJurosTLP');</t>
  </si>
  <si>
    <t xml:space="preserve">                                                                 ,'Fnci_ProjetaJurosTLP'</t>
  </si>
  <si>
    <t xml:space="preserve">   End Fnci_ProjetaJurosTLP;</t>
  </si>
  <si>
    <t xml:space="preserve">   Type gr_rEncargoDiarioFatorTLP is Record (</t>
  </si>
  <si>
    <t xml:space="preserve"> Prci_Salva_Info_TLP()</t>
  </si>
  <si>
    <t xml:space="preserve"> PRCI_Atualiza_Encargo_Diario()</t>
  </si>
  <si>
    <t xml:space="preserve"> Prci_RemontaEncargoDiarioPre()</t>
  </si>
  <si>
    <t xml:space="preserve"> PRCI_Calcula_Encargo_Diario()</t>
  </si>
  <si>
    <t>juros inadimpln</t>
  </si>
  <si>
    <t>juros normais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</si>
</sst>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9">
    <xf numFmtId="0" fontId="0" fillId="0" borderId="0" xfId="0"/>
    <xf numFmtId="16" fontId="0" fillId="0" borderId="0" xfId="0" applyNumberFormat="1"/>
    <xf numFmtId="20" fontId="0" fillId="0" borderId="0" xfId="0" applyNumberFormat="1"/>
    <xf numFmtId="0" fontId="1" fillId="0" borderId="0" xfId="0" applyFont="1"/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left"/>
    </xf>
    <xf numFmtId="14" fontId="0" fillId="0" borderId="0" xfId="0" applyNumberFormat="1"/>
    <xf numFmtId="43" fontId="0" fillId="0" borderId="0" xfId="1" applyFont="1"/>
    <xf numFmtId="2" fontId="0" fillId="0" borderId="0" xfId="0" applyNumberForma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52"/>
  <sheetViews>
    <sheetView tabSelected="1" zoomScaleNormal="100" workbookViewId="0">
      <selection activeCell="E135" sqref="E135"/>
    </sheetView>
  </sheetViews>
  <sheetFormatPr defaultRowHeight="15" x14ac:dyDescent="0.25"/>
  <cols>
    <col min="1" max="1" width="28.140625" customWidth="1"/>
    <col min="2" max="2" width="8.7109375" bestFit="1" customWidth="1"/>
    <col min="3" max="3" width="12.140625" bestFit="1" customWidth="1"/>
    <col min="4" max="4" width="24.7109375" customWidth="1"/>
    <col min="5" max="8" width="4.5703125" customWidth="1"/>
  </cols>
  <sheetData>
    <row r="1" spans="1:9" s="4" customFormat="1" x14ac:dyDescent="0.25">
      <c r="A1" s="4" t="s">
        <v>703</v>
      </c>
      <c r="B1" s="4" t="s">
        <v>704</v>
      </c>
      <c r="C1" s="4" t="s">
        <v>707</v>
      </c>
      <c r="D1" s="4" t="s">
        <v>705</v>
      </c>
      <c r="E1" s="5" t="s">
        <v>706</v>
      </c>
    </row>
    <row r="2" spans="1:9" x14ac:dyDescent="0.25">
      <c r="A2" t="s">
        <v>28</v>
      </c>
      <c r="B2">
        <v>50</v>
      </c>
      <c r="C2">
        <v>22</v>
      </c>
      <c r="E2" t="s">
        <v>578</v>
      </c>
    </row>
    <row r="3" spans="1:9" x14ac:dyDescent="0.25">
      <c r="A3" t="s">
        <v>28</v>
      </c>
      <c r="B3">
        <v>145</v>
      </c>
      <c r="C3">
        <v>94</v>
      </c>
      <c r="E3" t="s">
        <v>579</v>
      </c>
    </row>
    <row r="4" spans="1:9" x14ac:dyDescent="0.25">
      <c r="A4" t="s">
        <v>28</v>
      </c>
      <c r="B4">
        <v>2372</v>
      </c>
      <c r="C4">
        <v>9</v>
      </c>
      <c r="D4" t="s">
        <v>580</v>
      </c>
      <c r="E4" t="s">
        <v>581</v>
      </c>
    </row>
    <row r="5" spans="1:9" x14ac:dyDescent="0.25">
      <c r="A5" t="s">
        <v>28</v>
      </c>
      <c r="B5">
        <v>2382</v>
      </c>
      <c r="C5">
        <v>27</v>
      </c>
      <c r="D5" t="s">
        <v>580</v>
      </c>
      <c r="E5" t="s">
        <v>582</v>
      </c>
      <c r="H5" s="1"/>
      <c r="I5" s="2"/>
    </row>
    <row r="6" spans="1:9" x14ac:dyDescent="0.25">
      <c r="A6" t="s">
        <v>28</v>
      </c>
      <c r="B6">
        <v>2384</v>
      </c>
      <c r="C6">
        <v>27</v>
      </c>
      <c r="D6" t="s">
        <v>580</v>
      </c>
      <c r="E6" t="s">
        <v>583</v>
      </c>
      <c r="H6" s="1"/>
      <c r="I6" s="2"/>
    </row>
    <row r="7" spans="1:9" x14ac:dyDescent="0.25">
      <c r="A7" t="s">
        <v>28</v>
      </c>
      <c r="B7">
        <v>2396</v>
      </c>
      <c r="C7">
        <v>20</v>
      </c>
      <c r="D7" t="s">
        <v>580</v>
      </c>
      <c r="E7" t="s">
        <v>584</v>
      </c>
    </row>
    <row r="8" spans="1:9" x14ac:dyDescent="0.25">
      <c r="A8" t="s">
        <v>28</v>
      </c>
      <c r="B8">
        <v>2433</v>
      </c>
      <c r="C8">
        <v>10</v>
      </c>
      <c r="D8" t="s">
        <v>580</v>
      </c>
      <c r="E8" t="s">
        <v>585</v>
      </c>
    </row>
    <row r="9" spans="1:9" x14ac:dyDescent="0.25">
      <c r="A9" t="s">
        <v>28</v>
      </c>
      <c r="B9">
        <v>2467</v>
      </c>
      <c r="C9">
        <v>128</v>
      </c>
      <c r="D9" t="s">
        <v>580</v>
      </c>
      <c r="E9" t="s">
        <v>586</v>
      </c>
    </row>
    <row r="10" spans="1:9" x14ac:dyDescent="0.25">
      <c r="A10" t="s">
        <v>0</v>
      </c>
      <c r="B10">
        <v>112</v>
      </c>
      <c r="C10">
        <v>22</v>
      </c>
      <c r="E10" t="s">
        <v>578</v>
      </c>
    </row>
    <row r="11" spans="1:9" x14ac:dyDescent="0.25">
      <c r="A11" t="s">
        <v>0</v>
      </c>
      <c r="B11">
        <v>7644</v>
      </c>
      <c r="C11">
        <v>10</v>
      </c>
      <c r="D11" t="s">
        <v>587</v>
      </c>
      <c r="E11" t="s">
        <v>588</v>
      </c>
    </row>
    <row r="12" spans="1:9" x14ac:dyDescent="0.25">
      <c r="A12" t="s">
        <v>0</v>
      </c>
      <c r="B12">
        <v>7646</v>
      </c>
      <c r="C12">
        <v>13</v>
      </c>
      <c r="D12" t="s">
        <v>587</v>
      </c>
      <c r="E12" t="s">
        <v>589</v>
      </c>
    </row>
    <row r="13" spans="1:9" x14ac:dyDescent="0.25">
      <c r="A13" t="s">
        <v>0</v>
      </c>
      <c r="B13">
        <v>7647</v>
      </c>
      <c r="C13">
        <v>14</v>
      </c>
      <c r="D13" t="s">
        <v>587</v>
      </c>
      <c r="E13" t="s">
        <v>590</v>
      </c>
    </row>
    <row r="14" spans="1:9" x14ac:dyDescent="0.25">
      <c r="A14" t="s">
        <v>0</v>
      </c>
      <c r="B14">
        <v>7700</v>
      </c>
      <c r="C14">
        <v>4</v>
      </c>
      <c r="D14" t="s">
        <v>587</v>
      </c>
      <c r="E14" t="s">
        <v>591</v>
      </c>
    </row>
    <row r="15" spans="1:9" x14ac:dyDescent="0.25">
      <c r="A15" t="s">
        <v>0</v>
      </c>
      <c r="B15">
        <v>8070</v>
      </c>
      <c r="C15">
        <v>11</v>
      </c>
      <c r="D15" t="s">
        <v>587</v>
      </c>
      <c r="E15" t="s">
        <v>592</v>
      </c>
    </row>
    <row r="16" spans="1:9" x14ac:dyDescent="0.25">
      <c r="A16" t="s">
        <v>0</v>
      </c>
      <c r="B16">
        <v>8084</v>
      </c>
      <c r="C16">
        <v>28</v>
      </c>
      <c r="D16" t="s">
        <v>587</v>
      </c>
      <c r="E16" t="s">
        <v>593</v>
      </c>
    </row>
    <row r="17" spans="1:5" x14ac:dyDescent="0.25">
      <c r="A17" t="s">
        <v>0</v>
      </c>
      <c r="B17">
        <v>8090</v>
      </c>
      <c r="C17">
        <v>41</v>
      </c>
      <c r="D17" t="s">
        <v>587</v>
      </c>
      <c r="E17" t="s">
        <v>594</v>
      </c>
    </row>
    <row r="18" spans="1:5" x14ac:dyDescent="0.25">
      <c r="A18" t="s">
        <v>0</v>
      </c>
      <c r="B18">
        <v>8093</v>
      </c>
      <c r="C18">
        <v>41</v>
      </c>
      <c r="D18" t="s">
        <v>587</v>
      </c>
      <c r="E18" t="s">
        <v>595</v>
      </c>
    </row>
    <row r="19" spans="1:5" x14ac:dyDescent="0.25">
      <c r="A19" t="s">
        <v>0</v>
      </c>
      <c r="B19">
        <v>8094</v>
      </c>
      <c r="C19">
        <v>79</v>
      </c>
      <c r="D19" t="s">
        <v>587</v>
      </c>
      <c r="E19" t="s">
        <v>596</v>
      </c>
    </row>
    <row r="20" spans="1:5" x14ac:dyDescent="0.25">
      <c r="A20" t="s">
        <v>0</v>
      </c>
      <c r="B20">
        <v>8101</v>
      </c>
      <c r="C20">
        <v>44</v>
      </c>
      <c r="D20" t="s">
        <v>587</v>
      </c>
      <c r="E20" t="s">
        <v>597</v>
      </c>
    </row>
    <row r="21" spans="1:5" x14ac:dyDescent="0.25">
      <c r="A21" t="s">
        <v>0</v>
      </c>
      <c r="B21">
        <v>8104</v>
      </c>
      <c r="C21">
        <v>44</v>
      </c>
      <c r="D21" t="s">
        <v>587</v>
      </c>
      <c r="E21" t="s">
        <v>598</v>
      </c>
    </row>
    <row r="22" spans="1:5" x14ac:dyDescent="0.25">
      <c r="A22" t="s">
        <v>0</v>
      </c>
      <c r="B22">
        <v>8105</v>
      </c>
      <c r="C22">
        <v>82</v>
      </c>
      <c r="D22" t="s">
        <v>587</v>
      </c>
      <c r="E22" t="s">
        <v>599</v>
      </c>
    </row>
    <row r="23" spans="1:5" x14ac:dyDescent="0.25">
      <c r="A23" t="s">
        <v>0</v>
      </c>
      <c r="B23">
        <v>9017</v>
      </c>
      <c r="C23">
        <v>13</v>
      </c>
      <c r="D23" t="s">
        <v>587</v>
      </c>
      <c r="E23" t="s">
        <v>600</v>
      </c>
    </row>
    <row r="24" spans="1:5" x14ac:dyDescent="0.25">
      <c r="A24" t="s">
        <v>0</v>
      </c>
      <c r="B24">
        <v>9022</v>
      </c>
      <c r="C24">
        <v>44</v>
      </c>
      <c r="D24" t="s">
        <v>587</v>
      </c>
      <c r="E24" t="s">
        <v>601</v>
      </c>
    </row>
    <row r="25" spans="1:5" x14ac:dyDescent="0.25">
      <c r="A25" t="s">
        <v>0</v>
      </c>
      <c r="B25">
        <v>9047</v>
      </c>
      <c r="C25">
        <v>13</v>
      </c>
      <c r="D25" t="s">
        <v>587</v>
      </c>
      <c r="E25" t="s">
        <v>600</v>
      </c>
    </row>
    <row r="26" spans="1:5" x14ac:dyDescent="0.25">
      <c r="A26" t="s">
        <v>0</v>
      </c>
      <c r="B26">
        <v>9052</v>
      </c>
      <c r="C26">
        <v>44</v>
      </c>
      <c r="D26" t="s">
        <v>587</v>
      </c>
      <c r="E26" t="s">
        <v>602</v>
      </c>
    </row>
    <row r="27" spans="1:5" x14ac:dyDescent="0.25">
      <c r="A27" t="s">
        <v>0</v>
      </c>
      <c r="B27">
        <v>9058</v>
      </c>
      <c r="C27">
        <v>44</v>
      </c>
      <c r="D27" t="s">
        <v>587</v>
      </c>
      <c r="E27" t="s">
        <v>603</v>
      </c>
    </row>
    <row r="28" spans="1:5" x14ac:dyDescent="0.25">
      <c r="A28" t="s">
        <v>0</v>
      </c>
      <c r="B28">
        <v>9060</v>
      </c>
      <c r="C28">
        <v>86</v>
      </c>
      <c r="D28" t="s">
        <v>587</v>
      </c>
      <c r="E28" t="s">
        <v>604</v>
      </c>
    </row>
    <row r="29" spans="1:5" x14ac:dyDescent="0.25">
      <c r="A29" t="s">
        <v>0</v>
      </c>
      <c r="B29">
        <v>9062</v>
      </c>
      <c r="C29">
        <v>68</v>
      </c>
      <c r="D29" t="s">
        <v>587</v>
      </c>
      <c r="E29" t="s">
        <v>605</v>
      </c>
    </row>
    <row r="30" spans="1:5" x14ac:dyDescent="0.25">
      <c r="A30" t="s">
        <v>0</v>
      </c>
      <c r="B30">
        <v>9221</v>
      </c>
      <c r="C30">
        <v>10</v>
      </c>
      <c r="D30" t="s">
        <v>587</v>
      </c>
      <c r="E30" t="s">
        <v>606</v>
      </c>
    </row>
    <row r="31" spans="1:5" x14ac:dyDescent="0.25">
      <c r="A31" t="s">
        <v>0</v>
      </c>
      <c r="B31">
        <v>9232</v>
      </c>
      <c r="C31">
        <v>30</v>
      </c>
      <c r="D31" t="s">
        <v>587</v>
      </c>
      <c r="E31" t="s">
        <v>607</v>
      </c>
    </row>
    <row r="32" spans="1:5" x14ac:dyDescent="0.25">
      <c r="A32" t="s">
        <v>0</v>
      </c>
      <c r="B32">
        <v>9235</v>
      </c>
      <c r="C32">
        <v>30</v>
      </c>
      <c r="D32" t="s">
        <v>587</v>
      </c>
      <c r="E32" t="s">
        <v>608</v>
      </c>
    </row>
    <row r="33" spans="1:5" x14ac:dyDescent="0.25">
      <c r="A33" t="s">
        <v>0</v>
      </c>
      <c r="B33">
        <v>9243</v>
      </c>
      <c r="C33">
        <v>38</v>
      </c>
      <c r="D33" t="s">
        <v>587</v>
      </c>
      <c r="E33" t="s">
        <v>609</v>
      </c>
    </row>
    <row r="34" spans="1:5" x14ac:dyDescent="0.25">
      <c r="A34" t="s">
        <v>0</v>
      </c>
      <c r="B34">
        <v>9248</v>
      </c>
      <c r="C34">
        <v>21</v>
      </c>
      <c r="D34" t="s">
        <v>587</v>
      </c>
      <c r="E34" t="s">
        <v>610</v>
      </c>
    </row>
    <row r="35" spans="1:5" x14ac:dyDescent="0.25">
      <c r="A35" t="s">
        <v>0</v>
      </c>
      <c r="B35">
        <v>9249</v>
      </c>
      <c r="C35">
        <v>21</v>
      </c>
      <c r="D35" t="s">
        <v>587</v>
      </c>
      <c r="E35" t="s">
        <v>611</v>
      </c>
    </row>
    <row r="36" spans="1:5" x14ac:dyDescent="0.25">
      <c r="A36" t="s">
        <v>0</v>
      </c>
      <c r="B36">
        <v>9250</v>
      </c>
      <c r="C36">
        <v>21</v>
      </c>
      <c r="D36" t="s">
        <v>587</v>
      </c>
      <c r="E36" t="s">
        <v>612</v>
      </c>
    </row>
    <row r="37" spans="1:5" x14ac:dyDescent="0.25">
      <c r="A37" t="s">
        <v>0</v>
      </c>
      <c r="B37">
        <v>9251</v>
      </c>
      <c r="C37">
        <v>21</v>
      </c>
      <c r="D37" t="s">
        <v>587</v>
      </c>
      <c r="E37" t="s">
        <v>613</v>
      </c>
    </row>
    <row r="38" spans="1:5" x14ac:dyDescent="0.25">
      <c r="A38" t="s">
        <v>0</v>
      </c>
      <c r="B38">
        <v>9254</v>
      </c>
      <c r="C38">
        <v>21</v>
      </c>
      <c r="D38" t="s">
        <v>587</v>
      </c>
      <c r="E38" t="s">
        <v>614</v>
      </c>
    </row>
    <row r="39" spans="1:5" x14ac:dyDescent="0.25">
      <c r="A39" t="s">
        <v>0</v>
      </c>
      <c r="B39">
        <v>9255</v>
      </c>
      <c r="C39">
        <v>21</v>
      </c>
      <c r="D39" t="s">
        <v>587</v>
      </c>
      <c r="E39" t="s">
        <v>615</v>
      </c>
    </row>
    <row r="40" spans="1:5" x14ac:dyDescent="0.25">
      <c r="A40" t="s">
        <v>0</v>
      </c>
      <c r="B40">
        <v>9256</v>
      </c>
      <c r="C40">
        <v>21</v>
      </c>
      <c r="D40" t="s">
        <v>587</v>
      </c>
      <c r="E40" t="s">
        <v>616</v>
      </c>
    </row>
    <row r="41" spans="1:5" x14ac:dyDescent="0.25">
      <c r="A41" t="s">
        <v>0</v>
      </c>
      <c r="B41">
        <v>9257</v>
      </c>
      <c r="C41">
        <v>21</v>
      </c>
      <c r="D41" t="s">
        <v>587</v>
      </c>
      <c r="E41" t="s">
        <v>617</v>
      </c>
    </row>
    <row r="42" spans="1:5" x14ac:dyDescent="0.25">
      <c r="A42" t="s">
        <v>0</v>
      </c>
      <c r="B42">
        <v>9258</v>
      </c>
      <c r="C42">
        <v>23</v>
      </c>
      <c r="D42" t="s">
        <v>587</v>
      </c>
      <c r="E42" t="s">
        <v>618</v>
      </c>
    </row>
    <row r="43" spans="1:5" x14ac:dyDescent="0.25">
      <c r="A43" t="s">
        <v>0</v>
      </c>
      <c r="B43">
        <v>9259</v>
      </c>
      <c r="C43">
        <v>24</v>
      </c>
      <c r="D43" t="s">
        <v>587</v>
      </c>
      <c r="E43" t="s">
        <v>619</v>
      </c>
    </row>
    <row r="44" spans="1:5" x14ac:dyDescent="0.25">
      <c r="A44" t="s">
        <v>0</v>
      </c>
      <c r="B44">
        <v>9262</v>
      </c>
      <c r="C44">
        <v>21</v>
      </c>
      <c r="D44" t="s">
        <v>587</v>
      </c>
      <c r="E44" t="s">
        <v>620</v>
      </c>
    </row>
    <row r="45" spans="1:5" x14ac:dyDescent="0.25">
      <c r="A45" t="s">
        <v>0</v>
      </c>
      <c r="B45">
        <v>9263</v>
      </c>
      <c r="C45">
        <v>21</v>
      </c>
      <c r="D45" t="s">
        <v>587</v>
      </c>
      <c r="E45" t="s">
        <v>621</v>
      </c>
    </row>
    <row r="46" spans="1:5" x14ac:dyDescent="0.25">
      <c r="A46" t="s">
        <v>0</v>
      </c>
      <c r="B46">
        <v>9264</v>
      </c>
      <c r="C46">
        <v>21</v>
      </c>
      <c r="D46" t="s">
        <v>587</v>
      </c>
      <c r="E46" t="s">
        <v>622</v>
      </c>
    </row>
    <row r="47" spans="1:5" x14ac:dyDescent="0.25">
      <c r="A47" t="s">
        <v>0</v>
      </c>
      <c r="B47">
        <v>9265</v>
      </c>
      <c r="C47">
        <v>21</v>
      </c>
      <c r="D47" t="s">
        <v>587</v>
      </c>
      <c r="E47" t="s">
        <v>623</v>
      </c>
    </row>
    <row r="48" spans="1:5" x14ac:dyDescent="0.25">
      <c r="A48" t="s">
        <v>0</v>
      </c>
      <c r="B48">
        <v>9266</v>
      </c>
      <c r="C48">
        <v>23</v>
      </c>
      <c r="D48" t="s">
        <v>587</v>
      </c>
      <c r="E48" t="s">
        <v>618</v>
      </c>
    </row>
    <row r="49" spans="1:5" x14ac:dyDescent="0.25">
      <c r="A49" t="s">
        <v>0</v>
      </c>
      <c r="B49">
        <v>9267</v>
      </c>
      <c r="C49">
        <v>24</v>
      </c>
      <c r="D49" t="s">
        <v>587</v>
      </c>
      <c r="E49" t="s">
        <v>624</v>
      </c>
    </row>
    <row r="50" spans="1:5" x14ac:dyDescent="0.25">
      <c r="A50" t="s">
        <v>0</v>
      </c>
      <c r="B50">
        <v>9270</v>
      </c>
      <c r="C50">
        <v>21</v>
      </c>
      <c r="D50" t="s">
        <v>587</v>
      </c>
      <c r="E50" t="s">
        <v>625</v>
      </c>
    </row>
    <row r="51" spans="1:5" x14ac:dyDescent="0.25">
      <c r="A51" t="s">
        <v>0</v>
      </c>
      <c r="B51">
        <v>9277</v>
      </c>
      <c r="C51">
        <v>27</v>
      </c>
      <c r="D51" t="s">
        <v>587</v>
      </c>
      <c r="E51" t="s">
        <v>626</v>
      </c>
    </row>
    <row r="52" spans="1:5" x14ac:dyDescent="0.25">
      <c r="A52" t="s">
        <v>0</v>
      </c>
      <c r="B52">
        <v>9278</v>
      </c>
      <c r="C52">
        <v>27</v>
      </c>
      <c r="D52" t="s">
        <v>587</v>
      </c>
      <c r="E52" t="s">
        <v>627</v>
      </c>
    </row>
    <row r="53" spans="1:5" x14ac:dyDescent="0.25">
      <c r="A53" t="s">
        <v>0</v>
      </c>
      <c r="B53">
        <v>9287</v>
      </c>
      <c r="C53">
        <v>27</v>
      </c>
      <c r="D53" t="s">
        <v>587</v>
      </c>
      <c r="E53" t="s">
        <v>628</v>
      </c>
    </row>
    <row r="54" spans="1:5" x14ac:dyDescent="0.25">
      <c r="A54" t="s">
        <v>0</v>
      </c>
      <c r="B54">
        <v>9291</v>
      </c>
      <c r="C54">
        <v>24</v>
      </c>
      <c r="D54" t="s">
        <v>587</v>
      </c>
      <c r="E54" t="s">
        <v>629</v>
      </c>
    </row>
    <row r="55" spans="1:5" x14ac:dyDescent="0.25">
      <c r="A55" t="s">
        <v>0</v>
      </c>
      <c r="B55">
        <v>9296</v>
      </c>
      <c r="C55">
        <v>21</v>
      </c>
      <c r="D55" t="s">
        <v>587</v>
      </c>
      <c r="E55" t="s">
        <v>630</v>
      </c>
    </row>
    <row r="56" spans="1:5" x14ac:dyDescent="0.25">
      <c r="A56" t="s">
        <v>0</v>
      </c>
      <c r="B56">
        <v>9297</v>
      </c>
      <c r="C56">
        <v>21</v>
      </c>
      <c r="D56" t="s">
        <v>587</v>
      </c>
      <c r="E56" t="s">
        <v>631</v>
      </c>
    </row>
    <row r="57" spans="1:5" x14ac:dyDescent="0.25">
      <c r="A57" t="s">
        <v>0</v>
      </c>
      <c r="B57">
        <v>9298</v>
      </c>
      <c r="C57">
        <v>21</v>
      </c>
      <c r="D57" t="s">
        <v>587</v>
      </c>
      <c r="E57" t="s">
        <v>632</v>
      </c>
    </row>
    <row r="58" spans="1:5" x14ac:dyDescent="0.25">
      <c r="A58" t="s">
        <v>0</v>
      </c>
      <c r="B58">
        <v>9299</v>
      </c>
      <c r="C58">
        <v>21</v>
      </c>
      <c r="D58" t="s">
        <v>587</v>
      </c>
      <c r="E58" t="s">
        <v>633</v>
      </c>
    </row>
    <row r="59" spans="1:5" x14ac:dyDescent="0.25">
      <c r="A59" t="s">
        <v>0</v>
      </c>
      <c r="B59">
        <v>9300</v>
      </c>
      <c r="C59">
        <v>21</v>
      </c>
      <c r="D59" t="s">
        <v>587</v>
      </c>
      <c r="E59" t="s">
        <v>634</v>
      </c>
    </row>
    <row r="60" spans="1:5" x14ac:dyDescent="0.25">
      <c r="A60" t="s">
        <v>0</v>
      </c>
      <c r="B60">
        <v>9301</v>
      </c>
      <c r="C60">
        <v>21</v>
      </c>
      <c r="D60" t="s">
        <v>587</v>
      </c>
      <c r="E60" t="s">
        <v>635</v>
      </c>
    </row>
    <row r="61" spans="1:5" x14ac:dyDescent="0.25">
      <c r="A61" t="s">
        <v>0</v>
      </c>
      <c r="B61">
        <v>9302</v>
      </c>
      <c r="C61">
        <v>21</v>
      </c>
      <c r="D61" t="s">
        <v>587</v>
      </c>
      <c r="E61" t="s">
        <v>636</v>
      </c>
    </row>
    <row r="62" spans="1:5" x14ac:dyDescent="0.25">
      <c r="A62" t="s">
        <v>0</v>
      </c>
      <c r="B62">
        <v>9303</v>
      </c>
      <c r="C62">
        <v>21</v>
      </c>
      <c r="D62" t="s">
        <v>587</v>
      </c>
      <c r="E62" t="s">
        <v>637</v>
      </c>
    </row>
    <row r="63" spans="1:5" x14ac:dyDescent="0.25">
      <c r="A63" t="s">
        <v>0</v>
      </c>
      <c r="B63">
        <v>9304</v>
      </c>
      <c r="C63">
        <v>21</v>
      </c>
      <c r="D63" t="s">
        <v>587</v>
      </c>
      <c r="E63" t="s">
        <v>638</v>
      </c>
    </row>
    <row r="64" spans="1:5" x14ac:dyDescent="0.25">
      <c r="A64" t="s">
        <v>0</v>
      </c>
      <c r="B64">
        <v>9307</v>
      </c>
      <c r="C64">
        <v>24</v>
      </c>
      <c r="D64" t="s">
        <v>587</v>
      </c>
      <c r="E64" t="s">
        <v>639</v>
      </c>
    </row>
    <row r="65" spans="1:5" x14ac:dyDescent="0.25">
      <c r="A65" t="s">
        <v>0</v>
      </c>
      <c r="B65">
        <v>9310</v>
      </c>
      <c r="C65">
        <v>21</v>
      </c>
      <c r="D65" t="s">
        <v>587</v>
      </c>
      <c r="E65" t="s">
        <v>640</v>
      </c>
    </row>
    <row r="66" spans="1:5" x14ac:dyDescent="0.25">
      <c r="A66" t="s">
        <v>0</v>
      </c>
      <c r="B66">
        <v>9311</v>
      </c>
      <c r="C66">
        <v>21</v>
      </c>
      <c r="D66" t="s">
        <v>587</v>
      </c>
      <c r="E66" t="s">
        <v>641</v>
      </c>
    </row>
    <row r="67" spans="1:5" x14ac:dyDescent="0.25">
      <c r="A67" t="s">
        <v>0</v>
      </c>
      <c r="B67">
        <v>9312</v>
      </c>
      <c r="C67">
        <v>21</v>
      </c>
      <c r="D67" t="s">
        <v>587</v>
      </c>
      <c r="E67" t="s">
        <v>642</v>
      </c>
    </row>
    <row r="68" spans="1:5" x14ac:dyDescent="0.25">
      <c r="A68" t="s">
        <v>0</v>
      </c>
      <c r="B68">
        <v>9313</v>
      </c>
      <c r="C68">
        <v>21</v>
      </c>
      <c r="D68" t="s">
        <v>587</v>
      </c>
      <c r="E68" t="s">
        <v>643</v>
      </c>
    </row>
    <row r="69" spans="1:5" x14ac:dyDescent="0.25">
      <c r="A69" t="s">
        <v>0</v>
      </c>
      <c r="B69">
        <v>9314</v>
      </c>
      <c r="C69">
        <v>21</v>
      </c>
      <c r="D69" t="s">
        <v>587</v>
      </c>
      <c r="E69" t="s">
        <v>644</v>
      </c>
    </row>
    <row r="70" spans="1:5" x14ac:dyDescent="0.25">
      <c r="A70" t="s">
        <v>0</v>
      </c>
      <c r="B70">
        <v>9315</v>
      </c>
      <c r="C70">
        <v>21</v>
      </c>
      <c r="D70" t="s">
        <v>587</v>
      </c>
      <c r="E70" t="s">
        <v>645</v>
      </c>
    </row>
    <row r="71" spans="1:5" x14ac:dyDescent="0.25">
      <c r="A71" t="s">
        <v>0</v>
      </c>
      <c r="B71">
        <v>9316</v>
      </c>
      <c r="C71">
        <v>21</v>
      </c>
      <c r="D71" t="s">
        <v>587</v>
      </c>
      <c r="E71" t="s">
        <v>646</v>
      </c>
    </row>
    <row r="72" spans="1:5" x14ac:dyDescent="0.25">
      <c r="A72" t="s">
        <v>0</v>
      </c>
      <c r="B72">
        <v>9317</v>
      </c>
      <c r="C72">
        <v>21</v>
      </c>
      <c r="D72" t="s">
        <v>587</v>
      </c>
      <c r="E72" t="s">
        <v>647</v>
      </c>
    </row>
    <row r="73" spans="1:5" x14ac:dyDescent="0.25">
      <c r="A73" t="s">
        <v>0</v>
      </c>
      <c r="B73">
        <v>9318</v>
      </c>
      <c r="C73">
        <v>21</v>
      </c>
      <c r="D73" t="s">
        <v>587</v>
      </c>
      <c r="E73" t="s">
        <v>648</v>
      </c>
    </row>
    <row r="74" spans="1:5" x14ac:dyDescent="0.25">
      <c r="A74" t="s">
        <v>0</v>
      </c>
      <c r="B74">
        <v>9319</v>
      </c>
      <c r="C74">
        <v>21</v>
      </c>
      <c r="D74" t="s">
        <v>587</v>
      </c>
      <c r="E74" t="s">
        <v>649</v>
      </c>
    </row>
    <row r="75" spans="1:5" x14ac:dyDescent="0.25">
      <c r="A75" t="s">
        <v>0</v>
      </c>
      <c r="B75">
        <v>9320</v>
      </c>
      <c r="C75">
        <v>21</v>
      </c>
      <c r="D75" t="s">
        <v>587</v>
      </c>
      <c r="E75" t="s">
        <v>650</v>
      </c>
    </row>
    <row r="76" spans="1:5" x14ac:dyDescent="0.25">
      <c r="A76" t="s">
        <v>0</v>
      </c>
      <c r="B76">
        <v>9321</v>
      </c>
      <c r="C76">
        <v>21</v>
      </c>
      <c r="D76" t="s">
        <v>587</v>
      </c>
      <c r="E76" t="s">
        <v>651</v>
      </c>
    </row>
    <row r="77" spans="1:5" x14ac:dyDescent="0.25">
      <c r="A77" t="s">
        <v>0</v>
      </c>
      <c r="B77">
        <v>9322</v>
      </c>
      <c r="C77">
        <v>21</v>
      </c>
      <c r="D77" t="s">
        <v>587</v>
      </c>
      <c r="E77" t="s">
        <v>652</v>
      </c>
    </row>
    <row r="78" spans="1:5" x14ac:dyDescent="0.25">
      <c r="A78" t="s">
        <v>0</v>
      </c>
      <c r="B78">
        <v>9323</v>
      </c>
      <c r="C78">
        <v>21</v>
      </c>
      <c r="D78" t="s">
        <v>587</v>
      </c>
      <c r="E78" t="s">
        <v>653</v>
      </c>
    </row>
    <row r="79" spans="1:5" x14ac:dyDescent="0.25">
      <c r="A79" t="s">
        <v>0</v>
      </c>
      <c r="B79">
        <v>9324</v>
      </c>
      <c r="C79">
        <v>21</v>
      </c>
      <c r="D79" t="s">
        <v>587</v>
      </c>
      <c r="E79" t="s">
        <v>654</v>
      </c>
    </row>
    <row r="80" spans="1:5" x14ac:dyDescent="0.25">
      <c r="A80" t="s">
        <v>0</v>
      </c>
      <c r="B80">
        <v>9325</v>
      </c>
      <c r="C80">
        <v>21</v>
      </c>
      <c r="D80" t="s">
        <v>587</v>
      </c>
      <c r="E80" t="s">
        <v>655</v>
      </c>
    </row>
    <row r="81" spans="1:5" x14ac:dyDescent="0.25">
      <c r="A81" t="s">
        <v>0</v>
      </c>
      <c r="B81">
        <v>9326</v>
      </c>
      <c r="C81">
        <v>21</v>
      </c>
      <c r="D81" t="s">
        <v>587</v>
      </c>
      <c r="E81" t="s">
        <v>656</v>
      </c>
    </row>
    <row r="82" spans="1:5" x14ac:dyDescent="0.25">
      <c r="A82" t="s">
        <v>0</v>
      </c>
      <c r="B82">
        <v>9327</v>
      </c>
      <c r="C82">
        <v>21</v>
      </c>
      <c r="D82" t="s">
        <v>587</v>
      </c>
      <c r="E82" t="s">
        <v>657</v>
      </c>
    </row>
    <row r="83" spans="1:5" x14ac:dyDescent="0.25">
      <c r="A83" t="s">
        <v>0</v>
      </c>
      <c r="B83">
        <v>9330</v>
      </c>
      <c r="C83">
        <v>24</v>
      </c>
      <c r="D83" t="s">
        <v>587</v>
      </c>
      <c r="E83" t="s">
        <v>658</v>
      </c>
    </row>
    <row r="84" spans="1:5" x14ac:dyDescent="0.25">
      <c r="A84" t="s">
        <v>0</v>
      </c>
      <c r="B84">
        <v>9331</v>
      </c>
      <c r="C84">
        <v>24</v>
      </c>
      <c r="D84" t="s">
        <v>587</v>
      </c>
      <c r="E84" t="s">
        <v>659</v>
      </c>
    </row>
    <row r="85" spans="1:5" x14ac:dyDescent="0.25">
      <c r="A85" t="s">
        <v>59</v>
      </c>
      <c r="B85">
        <v>1285</v>
      </c>
      <c r="C85">
        <v>42</v>
      </c>
      <c r="D85" t="s">
        <v>660</v>
      </c>
      <c r="E85" t="s">
        <v>661</v>
      </c>
    </row>
    <row r="86" spans="1:5" x14ac:dyDescent="0.25">
      <c r="A86" t="s">
        <v>59</v>
      </c>
      <c r="B86">
        <v>1292</v>
      </c>
      <c r="C86">
        <v>40</v>
      </c>
      <c r="D86" t="s">
        <v>660</v>
      </c>
      <c r="E86" t="s">
        <v>662</v>
      </c>
    </row>
    <row r="87" spans="1:5" x14ac:dyDescent="0.25">
      <c r="A87" t="s">
        <v>59</v>
      </c>
      <c r="B87">
        <v>1396</v>
      </c>
      <c r="C87">
        <v>170</v>
      </c>
      <c r="D87" t="s">
        <v>660</v>
      </c>
      <c r="E87" t="s">
        <v>663</v>
      </c>
    </row>
    <row r="88" spans="1:5" x14ac:dyDescent="0.25">
      <c r="A88" t="s">
        <v>73</v>
      </c>
      <c r="B88">
        <v>1283</v>
      </c>
      <c r="C88">
        <v>54</v>
      </c>
      <c r="D88" t="s">
        <v>664</v>
      </c>
      <c r="E88" t="s">
        <v>665</v>
      </c>
    </row>
    <row r="89" spans="1:5" x14ac:dyDescent="0.25">
      <c r="A89" t="s">
        <v>709</v>
      </c>
      <c r="B89">
        <v>590</v>
      </c>
      <c r="C89">
        <v>10</v>
      </c>
      <c r="D89" t="s">
        <v>940</v>
      </c>
      <c r="E89" t="s">
        <v>941</v>
      </c>
    </row>
    <row r="90" spans="1:5" x14ac:dyDescent="0.25">
      <c r="A90" t="s">
        <v>709</v>
      </c>
      <c r="B90">
        <v>603</v>
      </c>
      <c r="C90">
        <v>4</v>
      </c>
      <c r="D90" t="s">
        <v>940</v>
      </c>
      <c r="E90" t="s">
        <v>942</v>
      </c>
    </row>
    <row r="91" spans="1:5" x14ac:dyDescent="0.25">
      <c r="A91" t="s">
        <v>709</v>
      </c>
      <c r="B91">
        <v>608</v>
      </c>
      <c r="C91">
        <v>7</v>
      </c>
      <c r="D91" t="s">
        <v>940</v>
      </c>
      <c r="E91" t="s">
        <v>673</v>
      </c>
    </row>
    <row r="92" spans="1:5" x14ac:dyDescent="0.25">
      <c r="A92" t="s">
        <v>709</v>
      </c>
      <c r="B92">
        <v>610</v>
      </c>
      <c r="C92">
        <v>60</v>
      </c>
      <c r="D92" t="s">
        <v>940</v>
      </c>
      <c r="E92" t="s">
        <v>943</v>
      </c>
    </row>
    <row r="93" spans="1:5" x14ac:dyDescent="0.25">
      <c r="A93" t="s">
        <v>709</v>
      </c>
      <c r="B93">
        <v>630</v>
      </c>
      <c r="C93">
        <v>71</v>
      </c>
      <c r="D93" t="s">
        <v>940</v>
      </c>
      <c r="E93" t="s">
        <v>944</v>
      </c>
    </row>
    <row r="94" spans="1:5" x14ac:dyDescent="0.25">
      <c r="A94" t="s">
        <v>709</v>
      </c>
      <c r="B94">
        <v>636</v>
      </c>
      <c r="C94">
        <v>73</v>
      </c>
      <c r="D94" t="s">
        <v>940</v>
      </c>
      <c r="E94" t="s">
        <v>945</v>
      </c>
    </row>
    <row r="95" spans="1:5" x14ac:dyDescent="0.25">
      <c r="A95" t="s">
        <v>709</v>
      </c>
      <c r="B95">
        <v>639</v>
      </c>
      <c r="C95">
        <v>55</v>
      </c>
      <c r="D95" t="s">
        <v>940</v>
      </c>
      <c r="E95" t="s">
        <v>946</v>
      </c>
    </row>
    <row r="96" spans="1:5" x14ac:dyDescent="0.25">
      <c r="A96" t="s">
        <v>709</v>
      </c>
      <c r="B96">
        <v>642</v>
      </c>
      <c r="C96">
        <v>42</v>
      </c>
      <c r="D96" t="s">
        <v>940</v>
      </c>
      <c r="E96" t="s">
        <v>947</v>
      </c>
    </row>
    <row r="97" spans="1:5" x14ac:dyDescent="0.25">
      <c r="A97" t="s">
        <v>709</v>
      </c>
      <c r="B97">
        <v>644</v>
      </c>
      <c r="C97">
        <v>63</v>
      </c>
      <c r="D97" t="s">
        <v>940</v>
      </c>
      <c r="E97" t="s">
        <v>948</v>
      </c>
    </row>
    <row r="98" spans="1:5" x14ac:dyDescent="0.25">
      <c r="A98" t="s">
        <v>158</v>
      </c>
      <c r="B98">
        <v>11789</v>
      </c>
      <c r="C98">
        <v>12</v>
      </c>
      <c r="D98" t="s">
        <v>666</v>
      </c>
      <c r="E98" t="s">
        <v>667</v>
      </c>
    </row>
    <row r="99" spans="1:5" x14ac:dyDescent="0.25">
      <c r="A99" t="s">
        <v>164</v>
      </c>
      <c r="B99">
        <v>1067</v>
      </c>
      <c r="C99">
        <v>10</v>
      </c>
      <c r="D99" t="s">
        <v>668</v>
      </c>
      <c r="E99" t="s">
        <v>669</v>
      </c>
    </row>
    <row r="100" spans="1:5" x14ac:dyDescent="0.25">
      <c r="A100" t="s">
        <v>164</v>
      </c>
      <c r="B100">
        <v>1068</v>
      </c>
      <c r="C100">
        <v>14</v>
      </c>
      <c r="D100" t="s">
        <v>668</v>
      </c>
      <c r="E100" t="s">
        <v>670</v>
      </c>
    </row>
    <row r="101" spans="1:5" x14ac:dyDescent="0.25">
      <c r="A101" t="s">
        <v>164</v>
      </c>
      <c r="B101">
        <v>1069</v>
      </c>
      <c r="C101">
        <v>15</v>
      </c>
      <c r="D101" t="s">
        <v>668</v>
      </c>
      <c r="E101" t="s">
        <v>671</v>
      </c>
    </row>
    <row r="102" spans="1:5" x14ac:dyDescent="0.25">
      <c r="A102" t="s">
        <v>164</v>
      </c>
      <c r="B102">
        <v>1099</v>
      </c>
      <c r="C102">
        <v>4</v>
      </c>
      <c r="D102" t="s">
        <v>668</v>
      </c>
      <c r="E102" t="s">
        <v>672</v>
      </c>
    </row>
    <row r="103" spans="1:5" x14ac:dyDescent="0.25">
      <c r="A103" t="s">
        <v>164</v>
      </c>
      <c r="B103">
        <v>1101</v>
      </c>
      <c r="C103">
        <v>7</v>
      </c>
      <c r="D103" t="s">
        <v>668</v>
      </c>
      <c r="E103" t="s">
        <v>673</v>
      </c>
    </row>
    <row r="104" spans="1:5" x14ac:dyDescent="0.25">
      <c r="A104" t="s">
        <v>164</v>
      </c>
      <c r="B104">
        <v>1102</v>
      </c>
      <c r="C104">
        <v>11</v>
      </c>
      <c r="D104" t="s">
        <v>668</v>
      </c>
      <c r="E104" t="s">
        <v>674</v>
      </c>
    </row>
    <row r="105" spans="1:5" x14ac:dyDescent="0.25">
      <c r="A105" t="s">
        <v>164</v>
      </c>
      <c r="B105">
        <v>1103</v>
      </c>
      <c r="C105">
        <v>12</v>
      </c>
      <c r="D105" t="s">
        <v>668</v>
      </c>
      <c r="E105" t="s">
        <v>675</v>
      </c>
    </row>
    <row r="106" spans="1:5" x14ac:dyDescent="0.25">
      <c r="A106" t="s">
        <v>164</v>
      </c>
      <c r="B106">
        <v>1116</v>
      </c>
      <c r="C106">
        <v>7</v>
      </c>
      <c r="D106" t="s">
        <v>668</v>
      </c>
      <c r="E106" t="s">
        <v>673</v>
      </c>
    </row>
    <row r="107" spans="1:5" x14ac:dyDescent="0.25">
      <c r="A107" t="s">
        <v>164</v>
      </c>
      <c r="B107">
        <v>1124</v>
      </c>
      <c r="C107">
        <v>37</v>
      </c>
      <c r="D107" t="s">
        <v>668</v>
      </c>
      <c r="E107" t="s">
        <v>676</v>
      </c>
    </row>
    <row r="108" spans="1:5" x14ac:dyDescent="0.25">
      <c r="A108" t="s">
        <v>164</v>
      </c>
      <c r="B108">
        <v>1125</v>
      </c>
      <c r="C108">
        <v>37</v>
      </c>
      <c r="D108" t="s">
        <v>668</v>
      </c>
      <c r="E108" t="s">
        <v>677</v>
      </c>
    </row>
    <row r="109" spans="1:5" x14ac:dyDescent="0.25">
      <c r="A109" t="s">
        <v>164</v>
      </c>
      <c r="B109">
        <v>1127</v>
      </c>
      <c r="C109">
        <v>37</v>
      </c>
      <c r="D109" t="s">
        <v>668</v>
      </c>
      <c r="E109" t="s">
        <v>678</v>
      </c>
    </row>
    <row r="110" spans="1:5" x14ac:dyDescent="0.25">
      <c r="A110" t="s">
        <v>164</v>
      </c>
      <c r="B110">
        <v>1128</v>
      </c>
      <c r="C110">
        <v>37</v>
      </c>
      <c r="D110" t="s">
        <v>668</v>
      </c>
      <c r="E110" t="s">
        <v>679</v>
      </c>
    </row>
    <row r="111" spans="1:5" x14ac:dyDescent="0.25">
      <c r="A111" t="s">
        <v>164</v>
      </c>
      <c r="B111">
        <v>1129</v>
      </c>
      <c r="C111">
        <v>37</v>
      </c>
      <c r="D111" t="s">
        <v>668</v>
      </c>
      <c r="E111" t="s">
        <v>680</v>
      </c>
    </row>
    <row r="112" spans="1:5" x14ac:dyDescent="0.25">
      <c r="A112" t="s">
        <v>164</v>
      </c>
      <c r="B112">
        <v>1130</v>
      </c>
      <c r="C112">
        <v>37</v>
      </c>
      <c r="D112" t="s">
        <v>668</v>
      </c>
      <c r="E112" t="s">
        <v>681</v>
      </c>
    </row>
    <row r="113" spans="1:5" x14ac:dyDescent="0.25">
      <c r="A113" t="s">
        <v>164</v>
      </c>
      <c r="B113">
        <v>1131</v>
      </c>
      <c r="C113">
        <v>37</v>
      </c>
      <c r="D113" t="s">
        <v>668</v>
      </c>
      <c r="E113" t="s">
        <v>682</v>
      </c>
    </row>
    <row r="114" spans="1:5" x14ac:dyDescent="0.25">
      <c r="A114" t="s">
        <v>164</v>
      </c>
      <c r="B114">
        <v>1132</v>
      </c>
      <c r="C114">
        <v>37</v>
      </c>
      <c r="D114" t="s">
        <v>668</v>
      </c>
      <c r="E114" t="s">
        <v>683</v>
      </c>
    </row>
    <row r="115" spans="1:5" x14ac:dyDescent="0.25">
      <c r="A115" t="s">
        <v>164</v>
      </c>
      <c r="B115">
        <v>1133</v>
      </c>
      <c r="C115">
        <v>37</v>
      </c>
      <c r="D115" t="s">
        <v>668</v>
      </c>
      <c r="E115" t="s">
        <v>684</v>
      </c>
    </row>
    <row r="116" spans="1:5" x14ac:dyDescent="0.25">
      <c r="A116" t="s">
        <v>164</v>
      </c>
      <c r="B116">
        <v>1134</v>
      </c>
      <c r="C116">
        <v>37</v>
      </c>
      <c r="D116" t="s">
        <v>668</v>
      </c>
      <c r="E116" t="s">
        <v>685</v>
      </c>
    </row>
    <row r="117" spans="1:5" x14ac:dyDescent="0.25">
      <c r="A117" t="s">
        <v>164</v>
      </c>
      <c r="B117">
        <v>1169</v>
      </c>
      <c r="C117">
        <v>7</v>
      </c>
      <c r="D117" t="s">
        <v>668</v>
      </c>
      <c r="E117" t="s">
        <v>673</v>
      </c>
    </row>
    <row r="118" spans="1:5" x14ac:dyDescent="0.25">
      <c r="A118" t="s">
        <v>164</v>
      </c>
      <c r="B118">
        <v>1178</v>
      </c>
      <c r="C118">
        <v>37</v>
      </c>
      <c r="D118" t="s">
        <v>668</v>
      </c>
      <c r="E118" t="s">
        <v>686</v>
      </c>
    </row>
    <row r="119" spans="1:5" x14ac:dyDescent="0.25">
      <c r="A119" t="s">
        <v>164</v>
      </c>
      <c r="B119">
        <v>1182</v>
      </c>
      <c r="C119">
        <v>37</v>
      </c>
      <c r="D119" t="s">
        <v>668</v>
      </c>
      <c r="E119" t="s">
        <v>687</v>
      </c>
    </row>
    <row r="120" spans="1:5" x14ac:dyDescent="0.25">
      <c r="A120" t="s">
        <v>164</v>
      </c>
      <c r="B120">
        <v>1191</v>
      </c>
      <c r="C120">
        <v>7</v>
      </c>
      <c r="D120" t="s">
        <v>668</v>
      </c>
      <c r="E120" t="s">
        <v>673</v>
      </c>
    </row>
    <row r="121" spans="1:5" x14ac:dyDescent="0.25">
      <c r="A121" t="s">
        <v>164</v>
      </c>
      <c r="B121">
        <v>1218</v>
      </c>
      <c r="C121">
        <v>13</v>
      </c>
      <c r="D121" t="s">
        <v>668</v>
      </c>
      <c r="E121" t="s">
        <v>688</v>
      </c>
    </row>
    <row r="122" spans="1:5" x14ac:dyDescent="0.25">
      <c r="A122" t="s">
        <v>164</v>
      </c>
      <c r="B122">
        <v>1231</v>
      </c>
      <c r="C122">
        <v>16</v>
      </c>
      <c r="D122" t="s">
        <v>668</v>
      </c>
      <c r="E122" t="s">
        <v>689</v>
      </c>
    </row>
    <row r="123" spans="1:5" x14ac:dyDescent="0.25">
      <c r="A123" t="s">
        <v>164</v>
      </c>
      <c r="B123">
        <v>1243</v>
      </c>
      <c r="C123">
        <v>10</v>
      </c>
      <c r="D123" t="s">
        <v>668</v>
      </c>
      <c r="E123" t="s">
        <v>690</v>
      </c>
    </row>
    <row r="124" spans="1:5" x14ac:dyDescent="0.25">
      <c r="A124" t="s">
        <v>164</v>
      </c>
      <c r="B124">
        <v>1250</v>
      </c>
      <c r="C124">
        <v>37</v>
      </c>
      <c r="D124" t="s">
        <v>668</v>
      </c>
      <c r="E124" t="s">
        <v>691</v>
      </c>
    </row>
    <row r="125" spans="1:5" x14ac:dyDescent="0.25">
      <c r="A125" t="s">
        <v>164</v>
      </c>
      <c r="B125">
        <v>1257</v>
      </c>
      <c r="C125">
        <v>10</v>
      </c>
      <c r="D125" t="s">
        <v>668</v>
      </c>
      <c r="E125" t="s">
        <v>690</v>
      </c>
    </row>
    <row r="126" spans="1:5" x14ac:dyDescent="0.25">
      <c r="A126" t="s">
        <v>164</v>
      </c>
      <c r="B126">
        <v>1270</v>
      </c>
      <c r="C126">
        <v>10</v>
      </c>
      <c r="D126" t="s">
        <v>668</v>
      </c>
      <c r="E126" t="s">
        <v>690</v>
      </c>
    </row>
    <row r="127" spans="1:5" x14ac:dyDescent="0.25">
      <c r="A127" t="s">
        <v>164</v>
      </c>
      <c r="B127">
        <v>1276</v>
      </c>
      <c r="C127">
        <v>37</v>
      </c>
      <c r="D127" t="s">
        <v>668</v>
      </c>
      <c r="E127" t="s">
        <v>692</v>
      </c>
    </row>
    <row r="128" spans="1:5" x14ac:dyDescent="0.25">
      <c r="A128" t="s">
        <v>164</v>
      </c>
      <c r="B128">
        <v>1280</v>
      </c>
      <c r="C128">
        <v>10</v>
      </c>
      <c r="D128" t="s">
        <v>668</v>
      </c>
      <c r="E128" t="s">
        <v>690</v>
      </c>
    </row>
    <row r="129" spans="1:5" x14ac:dyDescent="0.25">
      <c r="A129" t="s">
        <v>164</v>
      </c>
      <c r="B129">
        <v>1293</v>
      </c>
      <c r="C129">
        <v>10</v>
      </c>
      <c r="D129" t="s">
        <v>668</v>
      </c>
      <c r="E129" t="s">
        <v>690</v>
      </c>
    </row>
    <row r="130" spans="1:5" x14ac:dyDescent="0.25">
      <c r="A130" t="s">
        <v>164</v>
      </c>
      <c r="B130">
        <v>1299</v>
      </c>
      <c r="C130">
        <v>37</v>
      </c>
      <c r="D130" t="s">
        <v>668</v>
      </c>
      <c r="E130" t="s">
        <v>693</v>
      </c>
    </row>
    <row r="131" spans="1:5" x14ac:dyDescent="0.25">
      <c r="A131" t="s">
        <v>164</v>
      </c>
      <c r="B131">
        <v>1305</v>
      </c>
      <c r="C131">
        <v>10</v>
      </c>
      <c r="D131" t="s">
        <v>668</v>
      </c>
      <c r="E131" t="s">
        <v>690</v>
      </c>
    </row>
    <row r="132" spans="1:5" x14ac:dyDescent="0.25">
      <c r="A132" t="s">
        <v>164</v>
      </c>
      <c r="B132">
        <v>1337</v>
      </c>
      <c r="C132">
        <v>72</v>
      </c>
      <c r="D132" t="s">
        <v>668</v>
      </c>
      <c r="E132" t="s">
        <v>694</v>
      </c>
    </row>
    <row r="133" spans="1:5" x14ac:dyDescent="0.25">
      <c r="A133" t="s">
        <v>164</v>
      </c>
      <c r="B133">
        <v>1339</v>
      </c>
      <c r="C133">
        <v>72</v>
      </c>
      <c r="D133" t="s">
        <v>668</v>
      </c>
      <c r="E133" t="s">
        <v>695</v>
      </c>
    </row>
    <row r="134" spans="1:5" x14ac:dyDescent="0.25">
      <c r="A134" t="s">
        <v>164</v>
      </c>
      <c r="B134">
        <v>1350</v>
      </c>
      <c r="C134">
        <v>19</v>
      </c>
      <c r="D134" t="s">
        <v>668</v>
      </c>
      <c r="E134" t="s">
        <v>696</v>
      </c>
    </row>
    <row r="135" spans="1:5" x14ac:dyDescent="0.25">
      <c r="A135" t="s">
        <v>164</v>
      </c>
      <c r="B135">
        <v>1365</v>
      </c>
      <c r="C135">
        <v>10</v>
      </c>
      <c r="D135" t="s">
        <v>668</v>
      </c>
      <c r="E135" t="s">
        <v>690</v>
      </c>
    </row>
    <row r="136" spans="1:5" x14ac:dyDescent="0.25">
      <c r="A136" t="s">
        <v>164</v>
      </c>
      <c r="B136">
        <v>1400</v>
      </c>
      <c r="C136">
        <v>10</v>
      </c>
      <c r="D136" t="s">
        <v>668</v>
      </c>
      <c r="E136" t="s">
        <v>690</v>
      </c>
    </row>
    <row r="137" spans="1:5" x14ac:dyDescent="0.25">
      <c r="A137" t="s">
        <v>164</v>
      </c>
      <c r="B137">
        <v>1424</v>
      </c>
      <c r="C137">
        <v>10</v>
      </c>
      <c r="D137" t="s">
        <v>668</v>
      </c>
      <c r="E137" t="s">
        <v>690</v>
      </c>
    </row>
    <row r="138" spans="1:5" x14ac:dyDescent="0.25">
      <c r="A138" t="s">
        <v>164</v>
      </c>
      <c r="B138">
        <v>1456</v>
      </c>
      <c r="C138">
        <v>13</v>
      </c>
      <c r="D138" t="s">
        <v>668</v>
      </c>
      <c r="E138" t="s">
        <v>688</v>
      </c>
    </row>
    <row r="139" spans="1:5" x14ac:dyDescent="0.25">
      <c r="A139" t="s">
        <v>164</v>
      </c>
      <c r="B139">
        <v>1469</v>
      </c>
      <c r="C139">
        <v>16</v>
      </c>
      <c r="D139" t="s">
        <v>668</v>
      </c>
      <c r="E139" t="s">
        <v>689</v>
      </c>
    </row>
    <row r="140" spans="1:5" x14ac:dyDescent="0.25">
      <c r="A140" t="s">
        <v>164</v>
      </c>
      <c r="B140">
        <v>1481</v>
      </c>
      <c r="C140">
        <v>10</v>
      </c>
      <c r="D140" t="s">
        <v>668</v>
      </c>
      <c r="E140" t="s">
        <v>690</v>
      </c>
    </row>
    <row r="141" spans="1:5" x14ac:dyDescent="0.25">
      <c r="A141" t="s">
        <v>164</v>
      </c>
      <c r="B141">
        <v>1488</v>
      </c>
      <c r="C141">
        <v>37</v>
      </c>
      <c r="D141" t="s">
        <v>668</v>
      </c>
      <c r="E141" t="s">
        <v>691</v>
      </c>
    </row>
    <row r="142" spans="1:5" x14ac:dyDescent="0.25">
      <c r="A142" t="s">
        <v>164</v>
      </c>
      <c r="B142">
        <v>1495</v>
      </c>
      <c r="C142">
        <v>10</v>
      </c>
      <c r="D142" t="s">
        <v>668</v>
      </c>
      <c r="E142" t="s">
        <v>690</v>
      </c>
    </row>
    <row r="143" spans="1:5" x14ac:dyDescent="0.25">
      <c r="A143" t="s">
        <v>164</v>
      </c>
      <c r="B143">
        <v>1508</v>
      </c>
      <c r="C143">
        <v>10</v>
      </c>
      <c r="D143" t="s">
        <v>668</v>
      </c>
      <c r="E143" t="s">
        <v>690</v>
      </c>
    </row>
    <row r="144" spans="1:5" x14ac:dyDescent="0.25">
      <c r="A144" t="s">
        <v>164</v>
      </c>
      <c r="B144">
        <v>1514</v>
      </c>
      <c r="C144">
        <v>37</v>
      </c>
      <c r="D144" t="s">
        <v>668</v>
      </c>
      <c r="E144" t="s">
        <v>692</v>
      </c>
    </row>
    <row r="145" spans="1:5" x14ac:dyDescent="0.25">
      <c r="A145" t="s">
        <v>164</v>
      </c>
      <c r="B145">
        <v>1518</v>
      </c>
      <c r="C145">
        <v>10</v>
      </c>
      <c r="D145" t="s">
        <v>668</v>
      </c>
      <c r="E145" t="s">
        <v>690</v>
      </c>
    </row>
    <row r="146" spans="1:5" x14ac:dyDescent="0.25">
      <c r="A146" t="s">
        <v>164</v>
      </c>
      <c r="B146">
        <v>1531</v>
      </c>
      <c r="C146">
        <v>10</v>
      </c>
      <c r="D146" t="s">
        <v>668</v>
      </c>
      <c r="E146" t="s">
        <v>690</v>
      </c>
    </row>
    <row r="147" spans="1:5" x14ac:dyDescent="0.25">
      <c r="A147" t="s">
        <v>164</v>
      </c>
      <c r="B147">
        <v>1537</v>
      </c>
      <c r="C147">
        <v>37</v>
      </c>
      <c r="D147" t="s">
        <v>668</v>
      </c>
      <c r="E147" t="s">
        <v>693</v>
      </c>
    </row>
    <row r="148" spans="1:5" x14ac:dyDescent="0.25">
      <c r="A148" t="s">
        <v>164</v>
      </c>
      <c r="B148">
        <v>1543</v>
      </c>
      <c r="C148">
        <v>10</v>
      </c>
      <c r="D148" t="s">
        <v>668</v>
      </c>
      <c r="E148" t="s">
        <v>690</v>
      </c>
    </row>
    <row r="149" spans="1:5" x14ac:dyDescent="0.25">
      <c r="A149" t="s">
        <v>164</v>
      </c>
      <c r="B149">
        <v>1579</v>
      </c>
      <c r="C149">
        <v>72</v>
      </c>
      <c r="D149" t="s">
        <v>668</v>
      </c>
      <c r="E149" t="s">
        <v>694</v>
      </c>
    </row>
    <row r="150" spans="1:5" x14ac:dyDescent="0.25">
      <c r="A150" t="s">
        <v>164</v>
      </c>
      <c r="B150">
        <v>1581</v>
      </c>
      <c r="C150">
        <v>72</v>
      </c>
      <c r="D150" t="s">
        <v>668</v>
      </c>
      <c r="E150" t="s">
        <v>695</v>
      </c>
    </row>
    <row r="151" spans="1:5" x14ac:dyDescent="0.25">
      <c r="A151" t="s">
        <v>164</v>
      </c>
      <c r="B151">
        <v>1592</v>
      </c>
      <c r="C151">
        <v>19</v>
      </c>
      <c r="D151" t="s">
        <v>668</v>
      </c>
      <c r="E151" t="s">
        <v>696</v>
      </c>
    </row>
    <row r="152" spans="1:5" x14ac:dyDescent="0.25">
      <c r="A152" t="s">
        <v>164</v>
      </c>
      <c r="B152">
        <v>1607</v>
      </c>
      <c r="C152">
        <v>10</v>
      </c>
      <c r="D152" t="s">
        <v>668</v>
      </c>
      <c r="E152" t="s">
        <v>690</v>
      </c>
    </row>
    <row r="153" spans="1:5" x14ac:dyDescent="0.25">
      <c r="A153" t="s">
        <v>164</v>
      </c>
      <c r="B153">
        <v>1642</v>
      </c>
      <c r="C153">
        <v>10</v>
      </c>
      <c r="D153" t="s">
        <v>668</v>
      </c>
      <c r="E153" t="s">
        <v>690</v>
      </c>
    </row>
    <row r="154" spans="1:5" x14ac:dyDescent="0.25">
      <c r="A154" t="s">
        <v>164</v>
      </c>
      <c r="B154">
        <v>1664</v>
      </c>
      <c r="C154">
        <v>10</v>
      </c>
      <c r="D154" t="s">
        <v>668</v>
      </c>
      <c r="E154" t="s">
        <v>690</v>
      </c>
    </row>
    <row r="155" spans="1:5" x14ac:dyDescent="0.25">
      <c r="A155" t="s">
        <v>164</v>
      </c>
      <c r="B155">
        <v>1689</v>
      </c>
      <c r="C155">
        <v>7</v>
      </c>
      <c r="D155" t="s">
        <v>668</v>
      </c>
      <c r="E155" t="s">
        <v>673</v>
      </c>
    </row>
    <row r="156" spans="1:5" x14ac:dyDescent="0.25">
      <c r="A156" t="s">
        <v>255</v>
      </c>
      <c r="B156">
        <v>860</v>
      </c>
      <c r="C156">
        <v>46</v>
      </c>
      <c r="D156" t="s">
        <v>697</v>
      </c>
      <c r="E156" t="s">
        <v>698</v>
      </c>
    </row>
    <row r="157" spans="1:5" x14ac:dyDescent="0.25">
      <c r="A157" t="s">
        <v>255</v>
      </c>
      <c r="B157">
        <v>861</v>
      </c>
      <c r="C157">
        <v>34</v>
      </c>
      <c r="D157" t="s">
        <v>697</v>
      </c>
      <c r="E157" t="s">
        <v>699</v>
      </c>
    </row>
    <row r="158" spans="1:5" x14ac:dyDescent="0.25">
      <c r="A158" t="s">
        <v>547</v>
      </c>
      <c r="B158">
        <v>9027</v>
      </c>
      <c r="C158">
        <v>25</v>
      </c>
      <c r="D158" t="s">
        <v>700</v>
      </c>
      <c r="E158" t="s">
        <v>701</v>
      </c>
    </row>
    <row r="159" spans="1:5" x14ac:dyDescent="0.25">
      <c r="A159" t="s">
        <v>547</v>
      </c>
      <c r="B159">
        <v>9041</v>
      </c>
      <c r="C159">
        <v>85</v>
      </c>
      <c r="D159" t="s">
        <v>700</v>
      </c>
      <c r="E159" t="s">
        <v>702</v>
      </c>
    </row>
    <row r="160" spans="1:5" x14ac:dyDescent="0.25">
      <c r="A160" t="s">
        <v>730</v>
      </c>
      <c r="B160">
        <v>534</v>
      </c>
      <c r="C160">
        <v>51</v>
      </c>
      <c r="D160" t="s">
        <v>949</v>
      </c>
      <c r="E160" t="s">
        <v>950</v>
      </c>
    </row>
    <row r="161" spans="1:5" x14ac:dyDescent="0.25">
      <c r="A161" t="s">
        <v>730</v>
      </c>
      <c r="B161">
        <v>545</v>
      </c>
      <c r="C161">
        <v>59</v>
      </c>
      <c r="D161" t="s">
        <v>949</v>
      </c>
      <c r="E161" t="s">
        <v>951</v>
      </c>
    </row>
    <row r="162" spans="1:5" x14ac:dyDescent="0.25">
      <c r="A162" t="s">
        <v>730</v>
      </c>
      <c r="B162">
        <v>2087</v>
      </c>
      <c r="C162">
        <v>42</v>
      </c>
      <c r="D162" t="s">
        <v>952</v>
      </c>
      <c r="E162" t="s">
        <v>953</v>
      </c>
    </row>
    <row r="163" spans="1:5" x14ac:dyDescent="0.25">
      <c r="A163" t="s">
        <v>730</v>
      </c>
      <c r="B163">
        <v>2111</v>
      </c>
      <c r="C163">
        <v>32</v>
      </c>
      <c r="D163" t="s">
        <v>954</v>
      </c>
      <c r="E163" t="s">
        <v>955</v>
      </c>
    </row>
    <row r="164" spans="1:5" x14ac:dyDescent="0.25">
      <c r="A164" t="s">
        <v>730</v>
      </c>
      <c r="B164">
        <v>2126</v>
      </c>
      <c r="C164">
        <v>21</v>
      </c>
      <c r="D164" t="s">
        <v>954</v>
      </c>
      <c r="E164" t="s">
        <v>956</v>
      </c>
    </row>
    <row r="165" spans="1:5" x14ac:dyDescent="0.25">
      <c r="A165" t="s">
        <v>730</v>
      </c>
      <c r="B165">
        <v>2130</v>
      </c>
      <c r="C165">
        <v>29</v>
      </c>
      <c r="D165" t="s">
        <v>954</v>
      </c>
      <c r="E165" t="s">
        <v>957</v>
      </c>
    </row>
    <row r="166" spans="1:5" x14ac:dyDescent="0.25">
      <c r="A166" t="s">
        <v>730</v>
      </c>
      <c r="B166">
        <v>2183</v>
      </c>
      <c r="C166">
        <v>32</v>
      </c>
      <c r="D166" t="s">
        <v>954</v>
      </c>
      <c r="E166" t="s">
        <v>958</v>
      </c>
    </row>
    <row r="167" spans="1:5" x14ac:dyDescent="0.25">
      <c r="A167" t="s">
        <v>730</v>
      </c>
      <c r="B167">
        <v>2184</v>
      </c>
      <c r="C167">
        <v>32</v>
      </c>
      <c r="D167" t="s">
        <v>954</v>
      </c>
      <c r="E167" t="s">
        <v>959</v>
      </c>
    </row>
    <row r="168" spans="1:5" x14ac:dyDescent="0.25">
      <c r="A168" t="s">
        <v>730</v>
      </c>
      <c r="B168">
        <v>2185</v>
      </c>
      <c r="C168">
        <v>32</v>
      </c>
      <c r="D168" t="s">
        <v>954</v>
      </c>
      <c r="E168" t="s">
        <v>960</v>
      </c>
    </row>
    <row r="169" spans="1:5" x14ac:dyDescent="0.25">
      <c r="A169" t="s">
        <v>730</v>
      </c>
      <c r="B169">
        <v>2186</v>
      </c>
      <c r="C169">
        <v>32</v>
      </c>
      <c r="D169" t="s">
        <v>954</v>
      </c>
      <c r="E169" t="s">
        <v>961</v>
      </c>
    </row>
    <row r="170" spans="1:5" x14ac:dyDescent="0.25">
      <c r="A170" t="s">
        <v>730</v>
      </c>
      <c r="B170">
        <v>2190</v>
      </c>
      <c r="C170">
        <v>24</v>
      </c>
      <c r="D170" t="s">
        <v>954</v>
      </c>
      <c r="E170" t="s">
        <v>962</v>
      </c>
    </row>
    <row r="171" spans="1:5" x14ac:dyDescent="0.25">
      <c r="A171" t="s">
        <v>730</v>
      </c>
      <c r="B171">
        <v>2198</v>
      </c>
      <c r="C171">
        <v>71</v>
      </c>
      <c r="D171" t="s">
        <v>954</v>
      </c>
      <c r="E171" t="s">
        <v>963</v>
      </c>
    </row>
    <row r="172" spans="1:5" x14ac:dyDescent="0.25">
      <c r="A172" t="s">
        <v>730</v>
      </c>
      <c r="B172">
        <v>2200</v>
      </c>
      <c r="C172">
        <v>26</v>
      </c>
      <c r="D172" t="s">
        <v>954</v>
      </c>
      <c r="E172" t="s">
        <v>964</v>
      </c>
    </row>
    <row r="173" spans="1:5" x14ac:dyDescent="0.25">
      <c r="A173" t="s">
        <v>730</v>
      </c>
      <c r="B173">
        <v>2204</v>
      </c>
      <c r="C173">
        <v>28</v>
      </c>
      <c r="D173" t="s">
        <v>954</v>
      </c>
      <c r="E173" t="s">
        <v>965</v>
      </c>
    </row>
    <row r="174" spans="1:5" x14ac:dyDescent="0.25">
      <c r="A174" t="s">
        <v>730</v>
      </c>
      <c r="B174">
        <v>2222</v>
      </c>
      <c r="C174">
        <v>93</v>
      </c>
      <c r="D174" t="s">
        <v>954</v>
      </c>
      <c r="E174" t="s">
        <v>966</v>
      </c>
    </row>
    <row r="175" spans="1:5" x14ac:dyDescent="0.25">
      <c r="A175" t="s">
        <v>730</v>
      </c>
      <c r="B175">
        <v>2227</v>
      </c>
      <c r="C175">
        <v>87</v>
      </c>
      <c r="D175" t="s">
        <v>954</v>
      </c>
      <c r="E175" t="s">
        <v>967</v>
      </c>
    </row>
    <row r="176" spans="1:5" x14ac:dyDescent="0.25">
      <c r="A176" t="s">
        <v>730</v>
      </c>
      <c r="B176">
        <v>2231</v>
      </c>
      <c r="C176">
        <v>27</v>
      </c>
      <c r="D176" t="s">
        <v>954</v>
      </c>
      <c r="E176" t="s">
        <v>968</v>
      </c>
    </row>
    <row r="177" spans="1:5" x14ac:dyDescent="0.25">
      <c r="A177" t="s">
        <v>730</v>
      </c>
      <c r="B177">
        <v>2401</v>
      </c>
      <c r="C177">
        <v>36</v>
      </c>
      <c r="D177" t="s">
        <v>969</v>
      </c>
      <c r="E177" t="s">
        <v>970</v>
      </c>
    </row>
    <row r="178" spans="1:5" x14ac:dyDescent="0.25">
      <c r="A178" t="s">
        <v>730</v>
      </c>
      <c r="B178">
        <v>2425</v>
      </c>
      <c r="C178">
        <v>26</v>
      </c>
      <c r="D178" t="s">
        <v>971</v>
      </c>
      <c r="E178" t="s">
        <v>972</v>
      </c>
    </row>
    <row r="179" spans="1:5" x14ac:dyDescent="0.25">
      <c r="A179" t="s">
        <v>730</v>
      </c>
      <c r="B179">
        <v>2433</v>
      </c>
      <c r="C179">
        <v>53</v>
      </c>
      <c r="D179" t="s">
        <v>971</v>
      </c>
      <c r="E179" t="s">
        <v>973</v>
      </c>
    </row>
    <row r="180" spans="1:5" x14ac:dyDescent="0.25">
      <c r="A180" t="s">
        <v>730</v>
      </c>
      <c r="B180">
        <v>2444</v>
      </c>
      <c r="C180">
        <v>15</v>
      </c>
      <c r="D180" t="s">
        <v>971</v>
      </c>
      <c r="E180" t="s">
        <v>974</v>
      </c>
    </row>
    <row r="181" spans="1:5" x14ac:dyDescent="0.25">
      <c r="A181" t="s">
        <v>730</v>
      </c>
      <c r="B181">
        <v>2461</v>
      </c>
      <c r="C181">
        <v>18</v>
      </c>
      <c r="D181" t="s">
        <v>971</v>
      </c>
      <c r="E181" t="s">
        <v>975</v>
      </c>
    </row>
    <row r="182" spans="1:5" x14ac:dyDescent="0.25">
      <c r="A182" t="s">
        <v>730</v>
      </c>
      <c r="B182">
        <v>2464</v>
      </c>
      <c r="C182">
        <v>29</v>
      </c>
      <c r="D182" t="s">
        <v>971</v>
      </c>
      <c r="E182" t="s">
        <v>976</v>
      </c>
    </row>
    <row r="183" spans="1:5" x14ac:dyDescent="0.25">
      <c r="A183" t="s">
        <v>730</v>
      </c>
      <c r="B183">
        <v>2465</v>
      </c>
      <c r="C183">
        <v>29</v>
      </c>
      <c r="D183" t="s">
        <v>971</v>
      </c>
      <c r="E183" t="s">
        <v>977</v>
      </c>
    </row>
    <row r="184" spans="1:5" x14ac:dyDescent="0.25">
      <c r="A184" t="s">
        <v>730</v>
      </c>
      <c r="B184">
        <v>2466</v>
      </c>
      <c r="C184">
        <v>29</v>
      </c>
      <c r="D184" t="s">
        <v>971</v>
      </c>
      <c r="E184" t="s">
        <v>978</v>
      </c>
    </row>
    <row r="185" spans="1:5" x14ac:dyDescent="0.25">
      <c r="A185" t="s">
        <v>730</v>
      </c>
      <c r="B185">
        <v>2467</v>
      </c>
      <c r="C185">
        <v>29</v>
      </c>
      <c r="D185" t="s">
        <v>971</v>
      </c>
      <c r="E185" t="s">
        <v>979</v>
      </c>
    </row>
    <row r="186" spans="1:5" x14ac:dyDescent="0.25">
      <c r="A186" t="s">
        <v>730</v>
      </c>
      <c r="B186">
        <v>2468</v>
      </c>
      <c r="C186">
        <v>29</v>
      </c>
      <c r="D186" t="s">
        <v>971</v>
      </c>
      <c r="E186" t="s">
        <v>980</v>
      </c>
    </row>
    <row r="187" spans="1:5" x14ac:dyDescent="0.25">
      <c r="A187" t="s">
        <v>730</v>
      </c>
      <c r="B187">
        <v>2469</v>
      </c>
      <c r="C187">
        <v>29</v>
      </c>
      <c r="D187" t="s">
        <v>971</v>
      </c>
      <c r="E187" t="s">
        <v>981</v>
      </c>
    </row>
    <row r="188" spans="1:5" x14ac:dyDescent="0.25">
      <c r="A188" t="s">
        <v>730</v>
      </c>
      <c r="B188">
        <v>2471</v>
      </c>
      <c r="C188">
        <v>89</v>
      </c>
      <c r="D188" t="s">
        <v>971</v>
      </c>
      <c r="E188" t="s">
        <v>982</v>
      </c>
    </row>
    <row r="189" spans="1:5" x14ac:dyDescent="0.25">
      <c r="A189" t="s">
        <v>730</v>
      </c>
      <c r="B189">
        <v>2474</v>
      </c>
      <c r="C189">
        <v>25</v>
      </c>
      <c r="D189" t="s">
        <v>971</v>
      </c>
      <c r="E189" t="s">
        <v>983</v>
      </c>
    </row>
    <row r="190" spans="1:5" x14ac:dyDescent="0.25">
      <c r="A190" t="s">
        <v>730</v>
      </c>
      <c r="B190">
        <v>2493</v>
      </c>
      <c r="C190">
        <v>87</v>
      </c>
      <c r="D190" t="s">
        <v>971</v>
      </c>
      <c r="E190" t="s">
        <v>984</v>
      </c>
    </row>
    <row r="191" spans="1:5" x14ac:dyDescent="0.25">
      <c r="A191" t="s">
        <v>730</v>
      </c>
      <c r="B191">
        <v>2498</v>
      </c>
      <c r="C191">
        <v>81</v>
      </c>
      <c r="D191" t="s">
        <v>971</v>
      </c>
      <c r="E191" t="s">
        <v>985</v>
      </c>
    </row>
    <row r="192" spans="1:5" x14ac:dyDescent="0.25">
      <c r="A192" t="s">
        <v>730</v>
      </c>
      <c r="B192">
        <v>2501</v>
      </c>
      <c r="C192">
        <v>21</v>
      </c>
      <c r="D192" t="s">
        <v>971</v>
      </c>
      <c r="E192" t="s">
        <v>986</v>
      </c>
    </row>
    <row r="193" spans="1:5" x14ac:dyDescent="0.25">
      <c r="A193" t="s">
        <v>730</v>
      </c>
      <c r="B193">
        <v>2503</v>
      </c>
      <c r="C193">
        <v>39</v>
      </c>
      <c r="D193" t="s">
        <v>971</v>
      </c>
      <c r="E193" t="s">
        <v>987</v>
      </c>
    </row>
    <row r="194" spans="1:5" x14ac:dyDescent="0.25">
      <c r="A194" t="s">
        <v>730</v>
      </c>
      <c r="B194">
        <v>2527</v>
      </c>
      <c r="C194">
        <v>30</v>
      </c>
      <c r="D194" t="s">
        <v>1046</v>
      </c>
      <c r="E194" t="s">
        <v>988</v>
      </c>
    </row>
    <row r="195" spans="1:5" x14ac:dyDescent="0.25">
      <c r="A195" t="s">
        <v>730</v>
      </c>
      <c r="B195">
        <v>2536</v>
      </c>
      <c r="C195">
        <v>35</v>
      </c>
      <c r="D195" t="s">
        <v>1046</v>
      </c>
      <c r="E195" t="s">
        <v>989</v>
      </c>
    </row>
    <row r="196" spans="1:5" x14ac:dyDescent="0.25">
      <c r="A196" t="s">
        <v>730</v>
      </c>
      <c r="B196">
        <v>2537</v>
      </c>
      <c r="C196">
        <v>51</v>
      </c>
      <c r="D196" t="s">
        <v>1046</v>
      </c>
      <c r="E196" t="s">
        <v>990</v>
      </c>
    </row>
    <row r="197" spans="1:5" x14ac:dyDescent="0.25">
      <c r="A197" t="s">
        <v>730</v>
      </c>
      <c r="B197">
        <v>2538</v>
      </c>
      <c r="C197">
        <v>51</v>
      </c>
      <c r="D197" t="s">
        <v>1046</v>
      </c>
      <c r="E197" t="s">
        <v>991</v>
      </c>
    </row>
    <row r="198" spans="1:5" x14ac:dyDescent="0.25">
      <c r="A198" t="s">
        <v>730</v>
      </c>
      <c r="B198">
        <v>2539</v>
      </c>
      <c r="C198">
        <v>51</v>
      </c>
      <c r="D198" t="s">
        <v>1046</v>
      </c>
      <c r="E198" t="s">
        <v>992</v>
      </c>
    </row>
    <row r="199" spans="1:5" x14ac:dyDescent="0.25">
      <c r="A199" t="s">
        <v>730</v>
      </c>
      <c r="B199">
        <v>2543</v>
      </c>
      <c r="C199">
        <v>54</v>
      </c>
      <c r="D199" t="s">
        <v>1046</v>
      </c>
      <c r="E199" t="s">
        <v>993</v>
      </c>
    </row>
    <row r="200" spans="1:5" x14ac:dyDescent="0.25">
      <c r="A200" t="s">
        <v>730</v>
      </c>
      <c r="B200">
        <v>2555</v>
      </c>
      <c r="C200">
        <v>42</v>
      </c>
      <c r="D200" t="s">
        <v>1046</v>
      </c>
      <c r="E200" t="s">
        <v>994</v>
      </c>
    </row>
    <row r="201" spans="1:5" x14ac:dyDescent="0.25">
      <c r="A201" t="s">
        <v>730</v>
      </c>
      <c r="B201">
        <v>2556</v>
      </c>
      <c r="C201">
        <v>42</v>
      </c>
      <c r="D201" t="s">
        <v>1046</v>
      </c>
      <c r="E201" t="s">
        <v>995</v>
      </c>
    </row>
    <row r="202" spans="1:5" x14ac:dyDescent="0.25">
      <c r="A202" t="s">
        <v>730</v>
      </c>
      <c r="B202">
        <v>2557</v>
      </c>
      <c r="C202">
        <v>42</v>
      </c>
      <c r="D202" t="s">
        <v>1046</v>
      </c>
      <c r="E202" t="s">
        <v>996</v>
      </c>
    </row>
    <row r="203" spans="1:5" x14ac:dyDescent="0.25">
      <c r="A203" t="s">
        <v>730</v>
      </c>
      <c r="B203">
        <v>2558</v>
      </c>
      <c r="C203">
        <v>42</v>
      </c>
      <c r="D203" t="s">
        <v>1046</v>
      </c>
      <c r="E203" t="s">
        <v>997</v>
      </c>
    </row>
    <row r="204" spans="1:5" x14ac:dyDescent="0.25">
      <c r="A204" t="s">
        <v>730</v>
      </c>
      <c r="B204">
        <v>2559</v>
      </c>
      <c r="C204">
        <v>42</v>
      </c>
      <c r="D204" t="s">
        <v>1046</v>
      </c>
      <c r="E204" t="s">
        <v>998</v>
      </c>
    </row>
    <row r="205" spans="1:5" x14ac:dyDescent="0.25">
      <c r="A205" t="s">
        <v>730</v>
      </c>
      <c r="B205">
        <v>2560</v>
      </c>
      <c r="C205">
        <v>42</v>
      </c>
      <c r="D205" t="s">
        <v>1046</v>
      </c>
      <c r="E205" t="s">
        <v>999</v>
      </c>
    </row>
    <row r="206" spans="1:5" x14ac:dyDescent="0.25">
      <c r="A206" t="s">
        <v>730</v>
      </c>
      <c r="B206">
        <v>2561</v>
      </c>
      <c r="C206">
        <v>42</v>
      </c>
      <c r="D206" t="s">
        <v>1046</v>
      </c>
      <c r="E206" t="s">
        <v>1000</v>
      </c>
    </row>
    <row r="207" spans="1:5" x14ac:dyDescent="0.25">
      <c r="A207" t="s">
        <v>730</v>
      </c>
      <c r="B207">
        <v>2562</v>
      </c>
      <c r="C207">
        <v>42</v>
      </c>
      <c r="D207" t="s">
        <v>1046</v>
      </c>
      <c r="E207" t="s">
        <v>1001</v>
      </c>
    </row>
    <row r="208" spans="1:5" x14ac:dyDescent="0.25">
      <c r="A208" t="s">
        <v>730</v>
      </c>
      <c r="B208">
        <v>2563</v>
      </c>
      <c r="C208">
        <v>42</v>
      </c>
      <c r="D208" t="s">
        <v>1046</v>
      </c>
      <c r="E208" t="s">
        <v>1002</v>
      </c>
    </row>
    <row r="209" spans="1:5" x14ac:dyDescent="0.25">
      <c r="A209" t="s">
        <v>730</v>
      </c>
      <c r="B209">
        <v>2564</v>
      </c>
      <c r="C209">
        <v>42</v>
      </c>
      <c r="D209" t="s">
        <v>1046</v>
      </c>
      <c r="E209" t="s">
        <v>1003</v>
      </c>
    </row>
    <row r="210" spans="1:5" x14ac:dyDescent="0.25">
      <c r="A210" t="s">
        <v>730</v>
      </c>
      <c r="B210">
        <v>2572</v>
      </c>
      <c r="C210">
        <v>96</v>
      </c>
      <c r="D210" t="s">
        <v>1046</v>
      </c>
      <c r="E210" t="s">
        <v>1004</v>
      </c>
    </row>
    <row r="211" spans="1:5" x14ac:dyDescent="0.25">
      <c r="A211" t="s">
        <v>730</v>
      </c>
      <c r="B211">
        <v>2573</v>
      </c>
      <c r="C211">
        <v>96</v>
      </c>
      <c r="D211" t="s">
        <v>1046</v>
      </c>
      <c r="E211" t="s">
        <v>1005</v>
      </c>
    </row>
    <row r="212" spans="1:5" x14ac:dyDescent="0.25">
      <c r="A212" t="s">
        <v>730</v>
      </c>
      <c r="B212">
        <v>2574</v>
      </c>
      <c r="C212">
        <v>96</v>
      </c>
      <c r="D212" t="s">
        <v>1046</v>
      </c>
      <c r="E212" t="s">
        <v>1006</v>
      </c>
    </row>
    <row r="213" spans="1:5" x14ac:dyDescent="0.25">
      <c r="A213" t="s">
        <v>730</v>
      </c>
      <c r="B213">
        <v>2575</v>
      </c>
      <c r="C213">
        <v>96</v>
      </c>
      <c r="D213" t="s">
        <v>1046</v>
      </c>
      <c r="E213" t="s">
        <v>1007</v>
      </c>
    </row>
    <row r="214" spans="1:5" x14ac:dyDescent="0.25">
      <c r="A214" t="s">
        <v>730</v>
      </c>
      <c r="B214">
        <v>2576</v>
      </c>
      <c r="C214">
        <v>96</v>
      </c>
      <c r="D214" t="s">
        <v>1046</v>
      </c>
      <c r="E214" t="s">
        <v>1008</v>
      </c>
    </row>
    <row r="215" spans="1:5" x14ac:dyDescent="0.25">
      <c r="A215" t="s">
        <v>730</v>
      </c>
      <c r="B215">
        <v>2577</v>
      </c>
      <c r="C215">
        <v>96</v>
      </c>
      <c r="D215" t="s">
        <v>1046</v>
      </c>
      <c r="E215" t="s">
        <v>1009</v>
      </c>
    </row>
    <row r="216" spans="1:5" x14ac:dyDescent="0.25">
      <c r="A216" t="s">
        <v>730</v>
      </c>
      <c r="B216">
        <v>2578</v>
      </c>
      <c r="C216">
        <v>96</v>
      </c>
      <c r="D216" t="s">
        <v>1046</v>
      </c>
      <c r="E216" t="s">
        <v>1010</v>
      </c>
    </row>
    <row r="217" spans="1:5" x14ac:dyDescent="0.25">
      <c r="A217" t="s">
        <v>730</v>
      </c>
      <c r="B217">
        <v>2579</v>
      </c>
      <c r="C217">
        <v>96</v>
      </c>
      <c r="D217" t="s">
        <v>1046</v>
      </c>
      <c r="E217" t="s">
        <v>1011</v>
      </c>
    </row>
    <row r="218" spans="1:5" x14ac:dyDescent="0.25">
      <c r="A218" t="s">
        <v>730</v>
      </c>
      <c r="B218">
        <v>2580</v>
      </c>
      <c r="C218">
        <v>96</v>
      </c>
      <c r="D218" t="s">
        <v>1046</v>
      </c>
      <c r="E218" t="s">
        <v>1012</v>
      </c>
    </row>
    <row r="219" spans="1:5" x14ac:dyDescent="0.25">
      <c r="A219" t="s">
        <v>730</v>
      </c>
      <c r="B219">
        <v>2581</v>
      </c>
      <c r="C219">
        <v>96</v>
      </c>
      <c r="D219" t="s">
        <v>1046</v>
      </c>
      <c r="E219" t="s">
        <v>1013</v>
      </c>
    </row>
    <row r="220" spans="1:5" x14ac:dyDescent="0.25">
      <c r="A220" t="s">
        <v>730</v>
      </c>
      <c r="B220">
        <v>2588</v>
      </c>
      <c r="C220">
        <v>90</v>
      </c>
      <c r="D220" t="s">
        <v>1046</v>
      </c>
      <c r="E220" t="s">
        <v>1014</v>
      </c>
    </row>
    <row r="221" spans="1:5" x14ac:dyDescent="0.25">
      <c r="A221" t="s">
        <v>730</v>
      </c>
      <c r="B221">
        <v>2590</v>
      </c>
      <c r="C221">
        <v>24</v>
      </c>
      <c r="D221" t="s">
        <v>1046</v>
      </c>
      <c r="E221" t="s">
        <v>1015</v>
      </c>
    </row>
    <row r="222" spans="1:5" x14ac:dyDescent="0.25">
      <c r="A222" t="s">
        <v>730</v>
      </c>
      <c r="B222">
        <v>2661</v>
      </c>
      <c r="C222">
        <v>50</v>
      </c>
      <c r="D222" t="s">
        <v>1016</v>
      </c>
      <c r="E222" t="s">
        <v>1017</v>
      </c>
    </row>
    <row r="223" spans="1:5" x14ac:dyDescent="0.25">
      <c r="A223" t="s">
        <v>730</v>
      </c>
      <c r="B223">
        <v>2685</v>
      </c>
      <c r="C223">
        <v>40</v>
      </c>
      <c r="D223" t="s">
        <v>1018</v>
      </c>
      <c r="E223" t="s">
        <v>1019</v>
      </c>
    </row>
    <row r="224" spans="1:5" x14ac:dyDescent="0.25">
      <c r="A224" t="s">
        <v>730</v>
      </c>
      <c r="B224">
        <v>2706</v>
      </c>
      <c r="C224">
        <v>39</v>
      </c>
      <c r="D224" t="s">
        <v>1018</v>
      </c>
      <c r="E224" t="s">
        <v>1020</v>
      </c>
    </row>
    <row r="225" spans="1:5" x14ac:dyDescent="0.25">
      <c r="A225" t="s">
        <v>730</v>
      </c>
      <c r="B225">
        <v>2715</v>
      </c>
      <c r="C225">
        <v>56</v>
      </c>
      <c r="D225" t="s">
        <v>1018</v>
      </c>
      <c r="E225" t="s">
        <v>1021</v>
      </c>
    </row>
    <row r="226" spans="1:5" x14ac:dyDescent="0.25">
      <c r="A226" t="s">
        <v>730</v>
      </c>
      <c r="B226">
        <v>2769</v>
      </c>
      <c r="C226">
        <v>101</v>
      </c>
      <c r="D226" t="s">
        <v>1018</v>
      </c>
      <c r="E226" t="s">
        <v>1022</v>
      </c>
    </row>
    <row r="227" spans="1:5" x14ac:dyDescent="0.25">
      <c r="A227" t="s">
        <v>730</v>
      </c>
      <c r="B227">
        <v>2774</v>
      </c>
      <c r="C227">
        <v>95</v>
      </c>
      <c r="D227" t="s">
        <v>1018</v>
      </c>
      <c r="E227" t="s">
        <v>1023</v>
      </c>
    </row>
    <row r="228" spans="1:5" x14ac:dyDescent="0.25">
      <c r="A228" t="s">
        <v>730</v>
      </c>
      <c r="B228">
        <v>2777</v>
      </c>
      <c r="C228">
        <v>35</v>
      </c>
      <c r="D228" t="s">
        <v>1018</v>
      </c>
      <c r="E228" t="s">
        <v>1024</v>
      </c>
    </row>
    <row r="229" spans="1:5" x14ac:dyDescent="0.25">
      <c r="A229" t="s">
        <v>731</v>
      </c>
      <c r="B229">
        <v>160</v>
      </c>
      <c r="C229">
        <v>32</v>
      </c>
      <c r="D229" t="s">
        <v>954</v>
      </c>
      <c r="E229" t="s">
        <v>955</v>
      </c>
    </row>
    <row r="230" spans="1:5" x14ac:dyDescent="0.25">
      <c r="A230" t="s">
        <v>731</v>
      </c>
      <c r="B230">
        <v>170</v>
      </c>
      <c r="C230">
        <v>26</v>
      </c>
      <c r="D230" t="s">
        <v>971</v>
      </c>
      <c r="E230" t="s">
        <v>972</v>
      </c>
    </row>
    <row r="231" spans="1:5" x14ac:dyDescent="0.25">
      <c r="A231" t="s">
        <v>731</v>
      </c>
      <c r="B231">
        <v>178</v>
      </c>
      <c r="C231">
        <v>53</v>
      </c>
      <c r="D231" t="s">
        <v>971</v>
      </c>
      <c r="E231" t="s">
        <v>973</v>
      </c>
    </row>
    <row r="232" spans="1:5" x14ac:dyDescent="0.25">
      <c r="A232" t="s">
        <v>731</v>
      </c>
      <c r="B232">
        <v>182</v>
      </c>
      <c r="C232">
        <v>30</v>
      </c>
      <c r="D232" t="s">
        <v>1046</v>
      </c>
      <c r="E232" t="s">
        <v>1025</v>
      </c>
    </row>
    <row r="233" spans="1:5" x14ac:dyDescent="0.25">
      <c r="A233" t="s">
        <v>731</v>
      </c>
      <c r="B233">
        <v>190</v>
      </c>
      <c r="C233">
        <v>40</v>
      </c>
      <c r="D233" t="s">
        <v>1018</v>
      </c>
      <c r="E233" t="s">
        <v>1019</v>
      </c>
    </row>
    <row r="234" spans="1:5" x14ac:dyDescent="0.25">
      <c r="A234" t="s">
        <v>742</v>
      </c>
      <c r="B234">
        <v>126</v>
      </c>
      <c r="C234">
        <v>55</v>
      </c>
      <c r="E234" t="s">
        <v>1026</v>
      </c>
    </row>
    <row r="235" spans="1:5" x14ac:dyDescent="0.25">
      <c r="A235" t="s">
        <v>776</v>
      </c>
      <c r="B235">
        <v>2632</v>
      </c>
      <c r="C235">
        <v>23</v>
      </c>
      <c r="D235" t="s">
        <v>1047</v>
      </c>
      <c r="E235" t="s">
        <v>1027</v>
      </c>
    </row>
    <row r="236" spans="1:5" x14ac:dyDescent="0.25">
      <c r="A236" t="s">
        <v>776</v>
      </c>
      <c r="B236">
        <v>2789</v>
      </c>
      <c r="C236">
        <v>26</v>
      </c>
      <c r="D236" t="s">
        <v>1047</v>
      </c>
      <c r="E236" t="s">
        <v>1028</v>
      </c>
    </row>
    <row r="237" spans="1:5" x14ac:dyDescent="0.25">
      <c r="A237" t="s">
        <v>776</v>
      </c>
      <c r="B237">
        <v>2853</v>
      </c>
      <c r="C237">
        <v>29</v>
      </c>
      <c r="D237" t="s">
        <v>1047</v>
      </c>
      <c r="E237" t="s">
        <v>1029</v>
      </c>
    </row>
    <row r="238" spans="1:5" x14ac:dyDescent="0.25">
      <c r="A238" t="s">
        <v>776</v>
      </c>
      <c r="B238">
        <v>2994</v>
      </c>
      <c r="C238">
        <v>32</v>
      </c>
      <c r="D238" t="s">
        <v>1047</v>
      </c>
      <c r="E238" t="s">
        <v>1030</v>
      </c>
    </row>
    <row r="239" spans="1:5" x14ac:dyDescent="0.25">
      <c r="A239" t="s">
        <v>776</v>
      </c>
      <c r="B239">
        <v>3877</v>
      </c>
      <c r="C239">
        <v>29</v>
      </c>
      <c r="D239" t="s">
        <v>1048</v>
      </c>
      <c r="E239" t="s">
        <v>1031</v>
      </c>
    </row>
    <row r="240" spans="1:5" x14ac:dyDescent="0.25">
      <c r="A240" t="s">
        <v>784</v>
      </c>
      <c r="B240">
        <v>1339</v>
      </c>
      <c r="C240">
        <v>83</v>
      </c>
      <c r="D240" t="s">
        <v>1049</v>
      </c>
      <c r="E240" t="s">
        <v>1032</v>
      </c>
    </row>
    <row r="241" spans="1:5" x14ac:dyDescent="0.25">
      <c r="A241" t="s">
        <v>784</v>
      </c>
      <c r="B241">
        <v>4232</v>
      </c>
      <c r="C241">
        <v>48</v>
      </c>
      <c r="D241" t="s">
        <v>1033</v>
      </c>
      <c r="E241" t="s">
        <v>1034</v>
      </c>
    </row>
    <row r="242" spans="1:5" x14ac:dyDescent="0.25">
      <c r="A242" t="s">
        <v>784</v>
      </c>
      <c r="B242">
        <v>4256</v>
      </c>
      <c r="C242">
        <v>38</v>
      </c>
      <c r="D242" t="s">
        <v>1035</v>
      </c>
      <c r="E242" t="s">
        <v>1036</v>
      </c>
    </row>
    <row r="243" spans="1:5" x14ac:dyDescent="0.25">
      <c r="A243" t="s">
        <v>784</v>
      </c>
      <c r="B243">
        <v>4422</v>
      </c>
      <c r="C243">
        <v>99</v>
      </c>
      <c r="D243" t="s">
        <v>1035</v>
      </c>
      <c r="E243" t="s">
        <v>1037</v>
      </c>
    </row>
    <row r="244" spans="1:5" x14ac:dyDescent="0.25">
      <c r="A244" t="s">
        <v>784</v>
      </c>
      <c r="B244">
        <v>4427</v>
      </c>
      <c r="C244">
        <v>93</v>
      </c>
      <c r="D244" t="s">
        <v>1035</v>
      </c>
      <c r="E244" t="s">
        <v>1038</v>
      </c>
    </row>
    <row r="245" spans="1:5" x14ac:dyDescent="0.25">
      <c r="A245" t="s">
        <v>784</v>
      </c>
      <c r="B245">
        <v>4430</v>
      </c>
      <c r="C245">
        <v>33</v>
      </c>
      <c r="D245" t="s">
        <v>1035</v>
      </c>
      <c r="E245" t="s">
        <v>1039</v>
      </c>
    </row>
    <row r="246" spans="1:5" x14ac:dyDescent="0.25">
      <c r="A246" t="s">
        <v>784</v>
      </c>
      <c r="B246">
        <v>4456</v>
      </c>
      <c r="C246">
        <v>30</v>
      </c>
      <c r="D246" t="s">
        <v>1040</v>
      </c>
      <c r="E246" t="s">
        <v>1041</v>
      </c>
    </row>
    <row r="247" spans="1:5" x14ac:dyDescent="0.25">
      <c r="A247" t="s">
        <v>784</v>
      </c>
      <c r="B247">
        <v>4518</v>
      </c>
      <c r="C247">
        <v>91</v>
      </c>
      <c r="D247" t="s">
        <v>1040</v>
      </c>
      <c r="E247" t="s">
        <v>1042</v>
      </c>
    </row>
    <row r="248" spans="1:5" x14ac:dyDescent="0.25">
      <c r="A248" t="s">
        <v>784</v>
      </c>
      <c r="B248">
        <v>4523</v>
      </c>
      <c r="C248">
        <v>85</v>
      </c>
      <c r="D248" t="s">
        <v>1040</v>
      </c>
      <c r="E248" t="s">
        <v>1043</v>
      </c>
    </row>
    <row r="249" spans="1:5" x14ac:dyDescent="0.25">
      <c r="A249" t="s">
        <v>784</v>
      </c>
      <c r="B249">
        <v>4525</v>
      </c>
      <c r="C249">
        <v>25</v>
      </c>
      <c r="D249" t="s">
        <v>1040</v>
      </c>
      <c r="E249" t="s">
        <v>1044</v>
      </c>
    </row>
    <row r="250" spans="1:5" x14ac:dyDescent="0.25">
      <c r="A250" t="s">
        <v>785</v>
      </c>
      <c r="B250">
        <v>96</v>
      </c>
      <c r="C250">
        <v>38</v>
      </c>
      <c r="D250" t="s">
        <v>1035</v>
      </c>
      <c r="E250" t="s">
        <v>1036</v>
      </c>
    </row>
    <row r="251" spans="1:5" x14ac:dyDescent="0.25">
      <c r="A251" t="s">
        <v>785</v>
      </c>
      <c r="B251">
        <v>110</v>
      </c>
      <c r="C251">
        <v>30</v>
      </c>
      <c r="D251" t="s">
        <v>1040</v>
      </c>
      <c r="E251" t="s">
        <v>1041</v>
      </c>
    </row>
    <row r="252" spans="1:5" x14ac:dyDescent="0.25">
      <c r="A252" t="s">
        <v>798</v>
      </c>
      <c r="B252">
        <v>2555</v>
      </c>
      <c r="C252">
        <v>31</v>
      </c>
      <c r="E252" t="s">
        <v>1045</v>
      </c>
    </row>
  </sheetData>
  <sortState ref="A2:M37">
    <sortCondition ref="A1"/>
  </sortState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zoomScale="85" zoomScaleNormal="85" workbookViewId="0">
      <selection sqref="A1:D1048576"/>
    </sheetView>
  </sheetViews>
  <sheetFormatPr defaultRowHeight="15" x14ac:dyDescent="0.25"/>
  <cols>
    <col min="1" max="1" width="29.28515625" bestFit="1" customWidth="1"/>
    <col min="2" max="2" width="33.5703125" bestFit="1" customWidth="1"/>
    <col min="4" max="4" width="46.5703125" bestFit="1" customWidth="1"/>
    <col min="5" max="5" width="88.5703125" customWidth="1"/>
  </cols>
  <sheetData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H35"/>
  <sheetViews>
    <sheetView topLeftCell="A31" zoomScale="130" zoomScaleNormal="130" workbookViewId="0">
      <selection activeCell="A36" sqref="A36:C36"/>
    </sheetView>
  </sheetViews>
  <sheetFormatPr defaultRowHeight="15" x14ac:dyDescent="0.25"/>
  <cols>
    <col min="1" max="1" width="28" customWidth="1"/>
    <col min="2" max="2" width="38.140625" bestFit="1" customWidth="1"/>
    <col min="3" max="3" width="18.140625" customWidth="1"/>
    <col min="4" max="4" width="26.140625" customWidth="1"/>
    <col min="5" max="8" width="4.5703125" customWidth="1"/>
  </cols>
  <sheetData>
    <row r="2" spans="1:8" x14ac:dyDescent="0.25">
      <c r="A2" s="3" t="s">
        <v>2</v>
      </c>
      <c r="B2" s="3" t="s">
        <v>521</v>
      </c>
      <c r="C2" s="3" t="s">
        <v>3</v>
      </c>
    </row>
    <row r="3" spans="1:8" x14ac:dyDescent="0.25">
      <c r="A3" t="s">
        <v>28</v>
      </c>
      <c r="C3">
        <v>2</v>
      </c>
    </row>
    <row r="4" spans="1:8" x14ac:dyDescent="0.25">
      <c r="A4" t="s">
        <v>28</v>
      </c>
      <c r="B4" t="s">
        <v>580</v>
      </c>
      <c r="C4">
        <v>6</v>
      </c>
    </row>
    <row r="5" spans="1:8" x14ac:dyDescent="0.25">
      <c r="A5" t="s">
        <v>0</v>
      </c>
      <c r="C5">
        <v>1</v>
      </c>
      <c r="H5" s="1"/>
    </row>
    <row r="6" spans="1:8" x14ac:dyDescent="0.25">
      <c r="A6" t="s">
        <v>0</v>
      </c>
      <c r="B6" t="s">
        <v>587</v>
      </c>
      <c r="C6">
        <v>74</v>
      </c>
      <c r="H6" s="1"/>
    </row>
    <row r="7" spans="1:8" x14ac:dyDescent="0.25">
      <c r="A7" t="s">
        <v>59</v>
      </c>
      <c r="B7" t="s">
        <v>660</v>
      </c>
      <c r="C7">
        <v>3</v>
      </c>
    </row>
    <row r="8" spans="1:8" x14ac:dyDescent="0.25">
      <c r="A8" t="s">
        <v>73</v>
      </c>
      <c r="B8" t="s">
        <v>664</v>
      </c>
      <c r="C8">
        <v>1</v>
      </c>
    </row>
    <row r="9" spans="1:8" x14ac:dyDescent="0.25">
      <c r="A9" t="s">
        <v>709</v>
      </c>
      <c r="B9" t="s">
        <v>940</v>
      </c>
      <c r="C9">
        <v>9</v>
      </c>
    </row>
    <row r="10" spans="1:8" x14ac:dyDescent="0.25">
      <c r="A10" t="s">
        <v>158</v>
      </c>
      <c r="B10" t="s">
        <v>666</v>
      </c>
      <c r="C10">
        <v>1</v>
      </c>
    </row>
    <row r="11" spans="1:8" x14ac:dyDescent="0.25">
      <c r="A11" t="s">
        <v>164</v>
      </c>
      <c r="B11" t="s">
        <v>668</v>
      </c>
      <c r="C11">
        <v>57</v>
      </c>
    </row>
    <row r="12" spans="1:8" x14ac:dyDescent="0.25">
      <c r="A12" t="s">
        <v>255</v>
      </c>
      <c r="B12" t="s">
        <v>697</v>
      </c>
      <c r="C12">
        <v>2</v>
      </c>
    </row>
    <row r="13" spans="1:8" x14ac:dyDescent="0.25">
      <c r="A13" t="s">
        <v>547</v>
      </c>
      <c r="B13" t="s">
        <v>700</v>
      </c>
      <c r="C13">
        <v>2</v>
      </c>
    </row>
    <row r="14" spans="1:8" x14ac:dyDescent="0.25">
      <c r="A14" t="s">
        <v>730</v>
      </c>
      <c r="B14" t="s">
        <v>949</v>
      </c>
      <c r="C14">
        <v>2</v>
      </c>
    </row>
    <row r="15" spans="1:8" x14ac:dyDescent="0.25">
      <c r="A15" t="s">
        <v>730</v>
      </c>
      <c r="B15" t="s">
        <v>952</v>
      </c>
      <c r="C15">
        <v>1</v>
      </c>
    </row>
    <row r="16" spans="1:8" x14ac:dyDescent="0.25">
      <c r="A16" t="s">
        <v>730</v>
      </c>
      <c r="B16" t="s">
        <v>954</v>
      </c>
      <c r="C16">
        <v>14</v>
      </c>
    </row>
    <row r="17" spans="1:3" x14ac:dyDescent="0.25">
      <c r="A17" t="s">
        <v>730</v>
      </c>
      <c r="B17" t="s">
        <v>969</v>
      </c>
      <c r="C17">
        <v>1</v>
      </c>
    </row>
    <row r="18" spans="1:3" x14ac:dyDescent="0.25">
      <c r="A18" t="s">
        <v>730</v>
      </c>
      <c r="B18" t="s">
        <v>971</v>
      </c>
      <c r="C18">
        <v>16</v>
      </c>
    </row>
    <row r="19" spans="1:3" x14ac:dyDescent="0.25">
      <c r="A19" t="s">
        <v>730</v>
      </c>
      <c r="B19" t="s">
        <v>1046</v>
      </c>
      <c r="C19">
        <v>28</v>
      </c>
    </row>
    <row r="20" spans="1:3" x14ac:dyDescent="0.25">
      <c r="A20" t="s">
        <v>730</v>
      </c>
      <c r="B20" t="s">
        <v>1016</v>
      </c>
      <c r="C20">
        <v>1</v>
      </c>
    </row>
    <row r="21" spans="1:3" x14ac:dyDescent="0.25">
      <c r="A21" t="s">
        <v>730</v>
      </c>
      <c r="B21" t="s">
        <v>1018</v>
      </c>
      <c r="C21">
        <v>6</v>
      </c>
    </row>
    <row r="22" spans="1:3" x14ac:dyDescent="0.25">
      <c r="A22" t="s">
        <v>731</v>
      </c>
      <c r="B22" t="s">
        <v>954</v>
      </c>
      <c r="C22">
        <v>1</v>
      </c>
    </row>
    <row r="23" spans="1:3" x14ac:dyDescent="0.25">
      <c r="A23" t="s">
        <v>731</v>
      </c>
      <c r="B23" t="s">
        <v>971</v>
      </c>
      <c r="C23">
        <v>2</v>
      </c>
    </row>
    <row r="24" spans="1:3" x14ac:dyDescent="0.25">
      <c r="A24" t="s">
        <v>731</v>
      </c>
      <c r="B24" t="s">
        <v>1046</v>
      </c>
      <c r="C24">
        <v>1</v>
      </c>
    </row>
    <row r="25" spans="1:3" x14ac:dyDescent="0.25">
      <c r="A25" t="s">
        <v>731</v>
      </c>
      <c r="B25" t="s">
        <v>1018</v>
      </c>
      <c r="C25">
        <v>1</v>
      </c>
    </row>
    <row r="26" spans="1:3" x14ac:dyDescent="0.25">
      <c r="A26" t="s">
        <v>742</v>
      </c>
      <c r="C26">
        <v>1</v>
      </c>
    </row>
    <row r="27" spans="1:3" x14ac:dyDescent="0.25">
      <c r="A27" t="s">
        <v>776</v>
      </c>
      <c r="B27" t="s">
        <v>1047</v>
      </c>
      <c r="C27">
        <v>4</v>
      </c>
    </row>
    <row r="28" spans="1:3" x14ac:dyDescent="0.25">
      <c r="A28" t="s">
        <v>776</v>
      </c>
      <c r="B28" t="s">
        <v>1048</v>
      </c>
      <c r="C28">
        <v>1</v>
      </c>
    </row>
    <row r="29" spans="1:3" x14ac:dyDescent="0.25">
      <c r="A29" t="s">
        <v>784</v>
      </c>
      <c r="B29" t="s">
        <v>1049</v>
      </c>
      <c r="C29">
        <v>1</v>
      </c>
    </row>
    <row r="30" spans="1:3" x14ac:dyDescent="0.25">
      <c r="A30" t="s">
        <v>784</v>
      </c>
      <c r="B30" t="s">
        <v>1033</v>
      </c>
      <c r="C30">
        <v>1</v>
      </c>
    </row>
    <row r="31" spans="1:3" x14ac:dyDescent="0.25">
      <c r="A31" t="s">
        <v>784</v>
      </c>
      <c r="B31" t="s">
        <v>1035</v>
      </c>
      <c r="C31">
        <v>4</v>
      </c>
    </row>
    <row r="32" spans="1:3" x14ac:dyDescent="0.25">
      <c r="A32" t="s">
        <v>784</v>
      </c>
      <c r="B32" t="s">
        <v>1040</v>
      </c>
      <c r="C32">
        <v>4</v>
      </c>
    </row>
    <row r="33" spans="1:3" x14ac:dyDescent="0.25">
      <c r="A33" t="s">
        <v>785</v>
      </c>
      <c r="B33" t="s">
        <v>1035</v>
      </c>
      <c r="C33">
        <v>1</v>
      </c>
    </row>
    <row r="34" spans="1:3" x14ac:dyDescent="0.25">
      <c r="A34" t="s">
        <v>785</v>
      </c>
      <c r="B34" t="s">
        <v>1040</v>
      </c>
      <c r="C34">
        <v>1</v>
      </c>
    </row>
    <row r="35" spans="1:3" x14ac:dyDescent="0.25">
      <c r="A35" t="s">
        <v>798</v>
      </c>
      <c r="C35">
        <v>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223274-04C1-44FD-BC9F-FEF8CD037AAB}">
  <sheetPr codeName="Sheet3"/>
  <dimension ref="H1:N12"/>
  <sheetViews>
    <sheetView workbookViewId="0">
      <selection activeCell="O8" sqref="O8"/>
    </sheetView>
  </sheetViews>
  <sheetFormatPr defaultRowHeight="15" x14ac:dyDescent="0.25"/>
  <cols>
    <col min="12" max="12" width="11.5703125" bestFit="1" customWidth="1"/>
  </cols>
  <sheetData>
    <row r="1" spans="8:14" x14ac:dyDescent="0.25">
      <c r="N1">
        <v>569.45000000000005</v>
      </c>
    </row>
    <row r="2" spans="8:14" x14ac:dyDescent="0.25">
      <c r="J2" s="8">
        <v>11.2</v>
      </c>
      <c r="L2">
        <v>12</v>
      </c>
      <c r="N2">
        <f>N1*2%</f>
        <v>11.389000000000001</v>
      </c>
    </row>
    <row r="4" spans="8:14" x14ac:dyDescent="0.25">
      <c r="H4" t="s">
        <v>1051</v>
      </c>
      <c r="J4" s="8">
        <v>5.9</v>
      </c>
    </row>
    <row r="6" spans="8:14" x14ac:dyDescent="0.25">
      <c r="H6" t="s">
        <v>1050</v>
      </c>
      <c r="J6" s="8">
        <f>J2-J4</f>
        <v>5.2999999999999989</v>
      </c>
      <c r="L6">
        <v>580.84</v>
      </c>
    </row>
    <row r="7" spans="8:14" x14ac:dyDescent="0.25">
      <c r="L7" s="8">
        <f>L6*((1+L2/100)^(19/252)-1)</f>
        <v>4.9843231362000378</v>
      </c>
    </row>
    <row r="10" spans="8:14" x14ac:dyDescent="0.25">
      <c r="L10" s="6">
        <v>43451</v>
      </c>
    </row>
    <row r="11" spans="8:14" x14ac:dyDescent="0.25">
      <c r="L11" s="6">
        <v>43479</v>
      </c>
    </row>
    <row r="12" spans="8:14" x14ac:dyDescent="0.25">
      <c r="L12" s="7">
        <f>NETWORKDAYS(L10,L11)</f>
        <v>21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C805"/>
  <sheetViews>
    <sheetView zoomScale="55" zoomScaleNormal="55" workbookViewId="0"/>
  </sheetViews>
  <sheetFormatPr defaultRowHeight="15" x14ac:dyDescent="0.25"/>
  <cols>
    <col min="1" max="1" width="23.140625" customWidth="1"/>
    <col min="5" max="5" width="88.5703125" customWidth="1"/>
  </cols>
  <sheetData>
    <row r="1" spans="1:3" x14ac:dyDescent="0.25">
      <c r="A1" t="s">
        <v>523</v>
      </c>
      <c r="B1" t="s">
        <v>520</v>
      </c>
      <c r="C1" t="s">
        <v>522</v>
      </c>
    </row>
    <row r="2" spans="1:3" x14ac:dyDescent="0.25">
      <c r="A2" t="s">
        <v>4</v>
      </c>
      <c r="B2" t="s">
        <v>520</v>
      </c>
      <c r="C2" t="s">
        <v>522</v>
      </c>
    </row>
    <row r="3" spans="1:3" x14ac:dyDescent="0.25">
      <c r="A3" t="s">
        <v>5</v>
      </c>
      <c r="B3" t="s">
        <v>520</v>
      </c>
      <c r="C3" t="s">
        <v>522</v>
      </c>
    </row>
    <row r="4" spans="1:3" x14ac:dyDescent="0.25">
      <c r="A4" t="s">
        <v>6</v>
      </c>
      <c r="B4" t="s">
        <v>520</v>
      </c>
      <c r="C4" t="s">
        <v>522</v>
      </c>
    </row>
    <row r="5" spans="1:3" x14ac:dyDescent="0.25">
      <c r="A5" t="s">
        <v>7</v>
      </c>
      <c r="B5" t="s">
        <v>520</v>
      </c>
      <c r="C5" t="s">
        <v>522</v>
      </c>
    </row>
    <row r="6" spans="1:3" x14ac:dyDescent="0.25">
      <c r="A6" t="s">
        <v>8</v>
      </c>
      <c r="B6" t="s">
        <v>520</v>
      </c>
      <c r="C6" t="s">
        <v>522</v>
      </c>
    </row>
    <row r="7" spans="1:3" x14ac:dyDescent="0.25">
      <c r="A7" t="s">
        <v>9</v>
      </c>
      <c r="B7" t="s">
        <v>520</v>
      </c>
      <c r="C7" t="s">
        <v>522</v>
      </c>
    </row>
    <row r="8" spans="1:3" x14ac:dyDescent="0.25">
      <c r="A8" t="s">
        <v>10</v>
      </c>
      <c r="B8" t="s">
        <v>520</v>
      </c>
      <c r="C8" t="s">
        <v>522</v>
      </c>
    </row>
    <row r="9" spans="1:3" x14ac:dyDescent="0.25">
      <c r="A9" t="s">
        <v>11</v>
      </c>
      <c r="B9" t="s">
        <v>520</v>
      </c>
      <c r="C9" t="s">
        <v>522</v>
      </c>
    </row>
    <row r="10" spans="1:3" x14ac:dyDescent="0.25">
      <c r="A10" t="s">
        <v>12</v>
      </c>
      <c r="B10" t="s">
        <v>520</v>
      </c>
      <c r="C10" t="s">
        <v>522</v>
      </c>
    </row>
    <row r="11" spans="1:3" x14ac:dyDescent="0.25">
      <c r="A11" t="s">
        <v>13</v>
      </c>
      <c r="B11" t="s">
        <v>520</v>
      </c>
      <c r="C11" t="s">
        <v>522</v>
      </c>
    </row>
    <row r="12" spans="1:3" x14ac:dyDescent="0.25">
      <c r="A12" t="s">
        <v>14</v>
      </c>
      <c r="B12" t="s">
        <v>520</v>
      </c>
      <c r="C12" t="s">
        <v>522</v>
      </c>
    </row>
    <row r="13" spans="1:3" x14ac:dyDescent="0.25">
      <c r="A13" t="s">
        <v>15</v>
      </c>
      <c r="B13" t="s">
        <v>520</v>
      </c>
      <c r="C13" t="s">
        <v>522</v>
      </c>
    </row>
    <row r="14" spans="1:3" x14ac:dyDescent="0.25">
      <c r="A14" t="s">
        <v>16</v>
      </c>
      <c r="B14" t="s">
        <v>520</v>
      </c>
      <c r="C14" t="s">
        <v>522</v>
      </c>
    </row>
    <row r="15" spans="1:3" x14ac:dyDescent="0.25">
      <c r="A15" t="s">
        <v>17</v>
      </c>
      <c r="B15" t="s">
        <v>520</v>
      </c>
      <c r="C15" t="s">
        <v>522</v>
      </c>
    </row>
    <row r="16" spans="1:3" x14ac:dyDescent="0.25">
      <c r="A16" t="s">
        <v>18</v>
      </c>
      <c r="B16" t="s">
        <v>520</v>
      </c>
      <c r="C16" t="s">
        <v>522</v>
      </c>
    </row>
    <row r="17" spans="1:3" x14ac:dyDescent="0.25">
      <c r="A17" t="s">
        <v>19</v>
      </c>
      <c r="B17" t="s">
        <v>520</v>
      </c>
      <c r="C17" t="s">
        <v>522</v>
      </c>
    </row>
    <row r="18" spans="1:3" x14ac:dyDescent="0.25">
      <c r="A18" t="s">
        <v>20</v>
      </c>
      <c r="B18" t="s">
        <v>520</v>
      </c>
      <c r="C18" t="s">
        <v>522</v>
      </c>
    </row>
    <row r="19" spans="1:3" x14ac:dyDescent="0.25">
      <c r="A19" t="s">
        <v>21</v>
      </c>
      <c r="B19" t="s">
        <v>520</v>
      </c>
      <c r="C19" t="s">
        <v>522</v>
      </c>
    </row>
    <row r="20" spans="1:3" x14ac:dyDescent="0.25">
      <c r="A20" t="s">
        <v>22</v>
      </c>
      <c r="B20" t="s">
        <v>520</v>
      </c>
      <c r="C20" t="s">
        <v>522</v>
      </c>
    </row>
    <row r="21" spans="1:3" x14ac:dyDescent="0.25">
      <c r="A21" t="s">
        <v>23</v>
      </c>
      <c r="B21" t="s">
        <v>520</v>
      </c>
      <c r="C21" t="s">
        <v>522</v>
      </c>
    </row>
    <row r="22" spans="1:3" x14ac:dyDescent="0.25">
      <c r="A22" t="s">
        <v>24</v>
      </c>
      <c r="B22" t="s">
        <v>520</v>
      </c>
      <c r="C22" t="s">
        <v>522</v>
      </c>
    </row>
    <row r="23" spans="1:3" x14ac:dyDescent="0.25">
      <c r="A23" t="s">
        <v>25</v>
      </c>
      <c r="B23" t="s">
        <v>520</v>
      </c>
      <c r="C23" t="s">
        <v>522</v>
      </c>
    </row>
    <row r="24" spans="1:3" x14ac:dyDescent="0.25">
      <c r="A24" t="s">
        <v>26</v>
      </c>
      <c r="B24" t="s">
        <v>520</v>
      </c>
      <c r="C24" t="s">
        <v>522</v>
      </c>
    </row>
    <row r="25" spans="1:3" x14ac:dyDescent="0.25">
      <c r="A25" t="s">
        <v>27</v>
      </c>
      <c r="B25" t="s">
        <v>520</v>
      </c>
      <c r="C25" t="s">
        <v>522</v>
      </c>
    </row>
    <row r="26" spans="1:3" x14ac:dyDescent="0.25">
      <c r="A26" t="s">
        <v>28</v>
      </c>
      <c r="B26" t="s">
        <v>520</v>
      </c>
      <c r="C26" t="s">
        <v>522</v>
      </c>
    </row>
    <row r="27" spans="1:3" x14ac:dyDescent="0.25">
      <c r="A27" t="s">
        <v>29</v>
      </c>
      <c r="B27" t="s">
        <v>520</v>
      </c>
      <c r="C27" t="s">
        <v>522</v>
      </c>
    </row>
    <row r="28" spans="1:3" x14ac:dyDescent="0.25">
      <c r="A28" t="s">
        <v>30</v>
      </c>
      <c r="B28" t="s">
        <v>520</v>
      </c>
      <c r="C28" t="s">
        <v>522</v>
      </c>
    </row>
    <row r="29" spans="1:3" x14ac:dyDescent="0.25">
      <c r="A29" t="s">
        <v>31</v>
      </c>
      <c r="B29" t="s">
        <v>520</v>
      </c>
      <c r="C29" t="s">
        <v>522</v>
      </c>
    </row>
    <row r="30" spans="1:3" x14ac:dyDescent="0.25">
      <c r="A30" t="s">
        <v>32</v>
      </c>
      <c r="B30" t="s">
        <v>520</v>
      </c>
      <c r="C30" t="s">
        <v>522</v>
      </c>
    </row>
    <row r="31" spans="1:3" x14ac:dyDescent="0.25">
      <c r="A31" t="s">
        <v>33</v>
      </c>
      <c r="B31" t="s">
        <v>520</v>
      </c>
      <c r="C31" t="s">
        <v>522</v>
      </c>
    </row>
    <row r="32" spans="1:3" x14ac:dyDescent="0.25">
      <c r="A32" t="s">
        <v>34</v>
      </c>
      <c r="B32" t="s">
        <v>520</v>
      </c>
      <c r="C32" t="s">
        <v>522</v>
      </c>
    </row>
    <row r="33" spans="1:3" x14ac:dyDescent="0.25">
      <c r="A33" t="s">
        <v>35</v>
      </c>
      <c r="B33" t="s">
        <v>520</v>
      </c>
      <c r="C33" t="s">
        <v>522</v>
      </c>
    </row>
    <row r="34" spans="1:3" x14ac:dyDescent="0.25">
      <c r="A34" t="s">
        <v>36</v>
      </c>
      <c r="B34" t="s">
        <v>520</v>
      </c>
      <c r="C34" t="s">
        <v>522</v>
      </c>
    </row>
    <row r="35" spans="1:3" x14ac:dyDescent="0.25">
      <c r="A35" t="s">
        <v>37</v>
      </c>
      <c r="B35" t="s">
        <v>520</v>
      </c>
      <c r="C35" t="s">
        <v>522</v>
      </c>
    </row>
    <row r="36" spans="1:3" x14ac:dyDescent="0.25">
      <c r="A36" t="s">
        <v>38</v>
      </c>
      <c r="B36" t="s">
        <v>520</v>
      </c>
      <c r="C36" t="s">
        <v>522</v>
      </c>
    </row>
    <row r="37" spans="1:3" x14ac:dyDescent="0.25">
      <c r="A37" t="s">
        <v>39</v>
      </c>
      <c r="B37" t="s">
        <v>520</v>
      </c>
      <c r="C37" t="s">
        <v>522</v>
      </c>
    </row>
    <row r="38" spans="1:3" x14ac:dyDescent="0.25">
      <c r="A38" t="s">
        <v>40</v>
      </c>
      <c r="B38" t="s">
        <v>520</v>
      </c>
      <c r="C38" t="s">
        <v>522</v>
      </c>
    </row>
    <row r="39" spans="1:3" x14ac:dyDescent="0.25">
      <c r="A39" t="s">
        <v>41</v>
      </c>
      <c r="B39" t="s">
        <v>520</v>
      </c>
      <c r="C39" t="s">
        <v>522</v>
      </c>
    </row>
    <row r="40" spans="1:3" x14ac:dyDescent="0.25">
      <c r="A40" t="s">
        <v>42</v>
      </c>
      <c r="B40" t="s">
        <v>520</v>
      </c>
      <c r="C40" t="s">
        <v>522</v>
      </c>
    </row>
    <row r="41" spans="1:3" x14ac:dyDescent="0.25">
      <c r="A41" t="s">
        <v>43</v>
      </c>
      <c r="B41" t="s">
        <v>520</v>
      </c>
      <c r="C41" t="s">
        <v>522</v>
      </c>
    </row>
    <row r="42" spans="1:3" x14ac:dyDescent="0.25">
      <c r="A42" t="s">
        <v>44</v>
      </c>
      <c r="B42" t="s">
        <v>520</v>
      </c>
      <c r="C42" t="s">
        <v>522</v>
      </c>
    </row>
    <row r="43" spans="1:3" x14ac:dyDescent="0.25">
      <c r="A43" t="s">
        <v>45</v>
      </c>
      <c r="B43" t="s">
        <v>520</v>
      </c>
      <c r="C43" t="s">
        <v>522</v>
      </c>
    </row>
    <row r="44" spans="1:3" x14ac:dyDescent="0.25">
      <c r="A44" t="s">
        <v>46</v>
      </c>
      <c r="B44" t="s">
        <v>520</v>
      </c>
      <c r="C44" t="s">
        <v>522</v>
      </c>
    </row>
    <row r="45" spans="1:3" x14ac:dyDescent="0.25">
      <c r="A45" t="s">
        <v>47</v>
      </c>
      <c r="B45" t="s">
        <v>520</v>
      </c>
      <c r="C45" t="s">
        <v>522</v>
      </c>
    </row>
    <row r="46" spans="1:3" x14ac:dyDescent="0.25">
      <c r="A46" t="s">
        <v>48</v>
      </c>
      <c r="B46" t="s">
        <v>520</v>
      </c>
      <c r="C46" t="s">
        <v>522</v>
      </c>
    </row>
    <row r="47" spans="1:3" x14ac:dyDescent="0.25">
      <c r="A47" t="s">
        <v>708</v>
      </c>
      <c r="B47" t="s">
        <v>520</v>
      </c>
      <c r="C47" t="s">
        <v>522</v>
      </c>
    </row>
    <row r="48" spans="1:3" x14ac:dyDescent="0.25">
      <c r="A48" t="s">
        <v>1</v>
      </c>
      <c r="B48" t="s">
        <v>520</v>
      </c>
      <c r="C48" t="s">
        <v>522</v>
      </c>
    </row>
    <row r="49" spans="1:3" x14ac:dyDescent="0.25">
      <c r="A49" t="s">
        <v>49</v>
      </c>
      <c r="B49" t="s">
        <v>520</v>
      </c>
      <c r="C49" t="s">
        <v>522</v>
      </c>
    </row>
    <row r="50" spans="1:3" x14ac:dyDescent="0.25">
      <c r="A50" t="s">
        <v>50</v>
      </c>
      <c r="B50" t="s">
        <v>520</v>
      </c>
      <c r="C50" t="s">
        <v>522</v>
      </c>
    </row>
    <row r="51" spans="1:3" x14ac:dyDescent="0.25">
      <c r="A51" t="s">
        <v>524</v>
      </c>
      <c r="B51" t="s">
        <v>520</v>
      </c>
      <c r="C51" t="s">
        <v>522</v>
      </c>
    </row>
    <row r="52" spans="1:3" x14ac:dyDescent="0.25">
      <c r="A52" t="s">
        <v>51</v>
      </c>
      <c r="B52" t="s">
        <v>520</v>
      </c>
      <c r="C52" t="s">
        <v>522</v>
      </c>
    </row>
    <row r="53" spans="1:3" x14ac:dyDescent="0.25">
      <c r="A53" t="s">
        <v>52</v>
      </c>
      <c r="B53" t="s">
        <v>520</v>
      </c>
      <c r="C53" t="s">
        <v>522</v>
      </c>
    </row>
    <row r="54" spans="1:3" x14ac:dyDescent="0.25">
      <c r="A54" t="s">
        <v>0</v>
      </c>
      <c r="B54" t="s">
        <v>520</v>
      </c>
      <c r="C54" t="s">
        <v>522</v>
      </c>
    </row>
    <row r="55" spans="1:3" x14ac:dyDescent="0.25">
      <c r="A55" t="s">
        <v>53</v>
      </c>
      <c r="B55" t="s">
        <v>520</v>
      </c>
      <c r="C55" t="s">
        <v>522</v>
      </c>
    </row>
    <row r="56" spans="1:3" x14ac:dyDescent="0.25">
      <c r="A56" t="s">
        <v>54</v>
      </c>
      <c r="B56" t="s">
        <v>520</v>
      </c>
      <c r="C56" t="s">
        <v>522</v>
      </c>
    </row>
    <row r="57" spans="1:3" x14ac:dyDescent="0.25">
      <c r="A57" t="s">
        <v>55</v>
      </c>
      <c r="B57" t="s">
        <v>520</v>
      </c>
      <c r="C57" t="s">
        <v>522</v>
      </c>
    </row>
    <row r="58" spans="1:3" x14ac:dyDescent="0.25">
      <c r="A58" t="s">
        <v>56</v>
      </c>
      <c r="B58" t="s">
        <v>520</v>
      </c>
      <c r="C58" t="s">
        <v>522</v>
      </c>
    </row>
    <row r="59" spans="1:3" x14ac:dyDescent="0.25">
      <c r="A59" t="s">
        <v>57</v>
      </c>
      <c r="B59" t="s">
        <v>520</v>
      </c>
      <c r="C59" t="s">
        <v>522</v>
      </c>
    </row>
    <row r="60" spans="1:3" x14ac:dyDescent="0.25">
      <c r="A60" t="s">
        <v>58</v>
      </c>
      <c r="B60" t="s">
        <v>520</v>
      </c>
      <c r="C60" t="s">
        <v>522</v>
      </c>
    </row>
    <row r="61" spans="1:3" x14ac:dyDescent="0.25">
      <c r="A61" t="s">
        <v>59</v>
      </c>
      <c r="B61" t="s">
        <v>520</v>
      </c>
      <c r="C61" t="s">
        <v>522</v>
      </c>
    </row>
    <row r="62" spans="1:3" x14ac:dyDescent="0.25">
      <c r="A62" t="s">
        <v>60</v>
      </c>
      <c r="B62" t="s">
        <v>520</v>
      </c>
      <c r="C62" t="s">
        <v>522</v>
      </c>
    </row>
    <row r="63" spans="1:3" x14ac:dyDescent="0.25">
      <c r="A63" t="s">
        <v>61</v>
      </c>
      <c r="B63" t="s">
        <v>520</v>
      </c>
      <c r="C63" t="s">
        <v>522</v>
      </c>
    </row>
    <row r="64" spans="1:3" x14ac:dyDescent="0.25">
      <c r="A64" t="s">
        <v>62</v>
      </c>
      <c r="B64" t="s">
        <v>520</v>
      </c>
      <c r="C64" t="s">
        <v>522</v>
      </c>
    </row>
    <row r="65" spans="1:3" x14ac:dyDescent="0.25">
      <c r="A65" t="s">
        <v>63</v>
      </c>
      <c r="B65" t="s">
        <v>520</v>
      </c>
      <c r="C65" t="s">
        <v>522</v>
      </c>
    </row>
    <row r="66" spans="1:3" x14ac:dyDescent="0.25">
      <c r="A66" t="s">
        <v>64</v>
      </c>
      <c r="B66" t="s">
        <v>520</v>
      </c>
      <c r="C66" t="s">
        <v>522</v>
      </c>
    </row>
    <row r="67" spans="1:3" x14ac:dyDescent="0.25">
      <c r="A67" t="s">
        <v>65</v>
      </c>
      <c r="B67" t="s">
        <v>520</v>
      </c>
      <c r="C67" t="s">
        <v>522</v>
      </c>
    </row>
    <row r="68" spans="1:3" x14ac:dyDescent="0.25">
      <c r="A68" t="s">
        <v>66</v>
      </c>
      <c r="B68" t="s">
        <v>520</v>
      </c>
      <c r="C68" t="s">
        <v>522</v>
      </c>
    </row>
    <row r="69" spans="1:3" x14ac:dyDescent="0.25">
      <c r="A69" t="s">
        <v>67</v>
      </c>
      <c r="B69" t="s">
        <v>520</v>
      </c>
      <c r="C69" t="s">
        <v>522</v>
      </c>
    </row>
    <row r="70" spans="1:3" x14ac:dyDescent="0.25">
      <c r="A70" t="s">
        <v>68</v>
      </c>
      <c r="B70" t="s">
        <v>520</v>
      </c>
      <c r="C70" t="s">
        <v>522</v>
      </c>
    </row>
    <row r="71" spans="1:3" x14ac:dyDescent="0.25">
      <c r="A71" t="s">
        <v>69</v>
      </c>
      <c r="B71" t="s">
        <v>520</v>
      </c>
      <c r="C71" t="s">
        <v>522</v>
      </c>
    </row>
    <row r="72" spans="1:3" x14ac:dyDescent="0.25">
      <c r="A72" t="s">
        <v>70</v>
      </c>
      <c r="B72" t="s">
        <v>520</v>
      </c>
      <c r="C72" t="s">
        <v>522</v>
      </c>
    </row>
    <row r="73" spans="1:3" x14ac:dyDescent="0.25">
      <c r="A73" t="s">
        <v>71</v>
      </c>
      <c r="B73" t="s">
        <v>520</v>
      </c>
      <c r="C73" t="s">
        <v>522</v>
      </c>
    </row>
    <row r="74" spans="1:3" x14ac:dyDescent="0.25">
      <c r="A74" t="s">
        <v>72</v>
      </c>
      <c r="B74" t="s">
        <v>520</v>
      </c>
      <c r="C74" t="s">
        <v>522</v>
      </c>
    </row>
    <row r="75" spans="1:3" x14ac:dyDescent="0.25">
      <c r="A75" t="s">
        <v>73</v>
      </c>
      <c r="B75" t="s">
        <v>520</v>
      </c>
      <c r="C75" t="s">
        <v>522</v>
      </c>
    </row>
    <row r="76" spans="1:3" x14ac:dyDescent="0.25">
      <c r="A76" t="s">
        <v>74</v>
      </c>
      <c r="B76" t="s">
        <v>520</v>
      </c>
      <c r="C76" t="s">
        <v>522</v>
      </c>
    </row>
    <row r="77" spans="1:3" x14ac:dyDescent="0.25">
      <c r="A77" t="s">
        <v>75</v>
      </c>
      <c r="B77" t="s">
        <v>520</v>
      </c>
      <c r="C77" t="s">
        <v>522</v>
      </c>
    </row>
    <row r="78" spans="1:3" x14ac:dyDescent="0.25">
      <c r="A78" t="s">
        <v>76</v>
      </c>
      <c r="B78" t="s">
        <v>520</v>
      </c>
      <c r="C78" t="s">
        <v>522</v>
      </c>
    </row>
    <row r="79" spans="1:3" x14ac:dyDescent="0.25">
      <c r="A79" t="s">
        <v>77</v>
      </c>
      <c r="B79" t="s">
        <v>520</v>
      </c>
      <c r="C79" t="s">
        <v>522</v>
      </c>
    </row>
    <row r="80" spans="1:3" x14ac:dyDescent="0.25">
      <c r="A80" t="s">
        <v>78</v>
      </c>
      <c r="B80" t="s">
        <v>520</v>
      </c>
      <c r="C80" t="s">
        <v>522</v>
      </c>
    </row>
    <row r="81" spans="1:3" x14ac:dyDescent="0.25">
      <c r="A81" t="s">
        <v>79</v>
      </c>
      <c r="B81" t="s">
        <v>520</v>
      </c>
      <c r="C81" t="s">
        <v>522</v>
      </c>
    </row>
    <row r="82" spans="1:3" x14ac:dyDescent="0.25">
      <c r="A82" t="s">
        <v>80</v>
      </c>
      <c r="B82" t="s">
        <v>520</v>
      </c>
      <c r="C82" t="s">
        <v>522</v>
      </c>
    </row>
    <row r="83" spans="1:3" x14ac:dyDescent="0.25">
      <c r="A83" t="s">
        <v>81</v>
      </c>
      <c r="B83" t="s">
        <v>520</v>
      </c>
      <c r="C83" t="s">
        <v>522</v>
      </c>
    </row>
    <row r="84" spans="1:3" x14ac:dyDescent="0.25">
      <c r="A84" t="s">
        <v>82</v>
      </c>
      <c r="B84" t="s">
        <v>520</v>
      </c>
      <c r="C84" t="s">
        <v>522</v>
      </c>
    </row>
    <row r="85" spans="1:3" x14ac:dyDescent="0.25">
      <c r="A85" t="s">
        <v>83</v>
      </c>
      <c r="B85" t="s">
        <v>520</v>
      </c>
      <c r="C85" t="s">
        <v>522</v>
      </c>
    </row>
    <row r="86" spans="1:3" x14ac:dyDescent="0.25">
      <c r="A86" t="s">
        <v>84</v>
      </c>
      <c r="B86" t="s">
        <v>520</v>
      </c>
      <c r="C86" t="s">
        <v>522</v>
      </c>
    </row>
    <row r="87" spans="1:3" x14ac:dyDescent="0.25">
      <c r="A87" t="s">
        <v>85</v>
      </c>
      <c r="B87" t="s">
        <v>520</v>
      </c>
      <c r="C87" t="s">
        <v>522</v>
      </c>
    </row>
    <row r="88" spans="1:3" x14ac:dyDescent="0.25">
      <c r="A88" t="s">
        <v>86</v>
      </c>
      <c r="B88" t="s">
        <v>520</v>
      </c>
      <c r="C88" t="s">
        <v>522</v>
      </c>
    </row>
    <row r="89" spans="1:3" x14ac:dyDescent="0.25">
      <c r="A89" t="s">
        <v>87</v>
      </c>
      <c r="B89" t="s">
        <v>520</v>
      </c>
      <c r="C89" t="s">
        <v>522</v>
      </c>
    </row>
    <row r="90" spans="1:3" x14ac:dyDescent="0.25">
      <c r="A90" t="s">
        <v>88</v>
      </c>
      <c r="B90" t="s">
        <v>520</v>
      </c>
      <c r="C90" t="s">
        <v>522</v>
      </c>
    </row>
    <row r="91" spans="1:3" x14ac:dyDescent="0.25">
      <c r="A91" t="s">
        <v>89</v>
      </c>
      <c r="B91" t="s">
        <v>520</v>
      </c>
      <c r="C91" t="s">
        <v>522</v>
      </c>
    </row>
    <row r="92" spans="1:3" x14ac:dyDescent="0.25">
      <c r="A92" t="s">
        <v>90</v>
      </c>
      <c r="B92" t="s">
        <v>520</v>
      </c>
      <c r="C92" t="s">
        <v>522</v>
      </c>
    </row>
    <row r="93" spans="1:3" x14ac:dyDescent="0.25">
      <c r="A93" t="s">
        <v>91</v>
      </c>
      <c r="B93" t="s">
        <v>520</v>
      </c>
      <c r="C93" t="s">
        <v>522</v>
      </c>
    </row>
    <row r="94" spans="1:3" x14ac:dyDescent="0.25">
      <c r="A94" t="s">
        <v>92</v>
      </c>
      <c r="B94" t="s">
        <v>520</v>
      </c>
      <c r="C94" t="s">
        <v>522</v>
      </c>
    </row>
    <row r="95" spans="1:3" x14ac:dyDescent="0.25">
      <c r="A95" t="s">
        <v>93</v>
      </c>
      <c r="B95" t="s">
        <v>520</v>
      </c>
      <c r="C95" t="s">
        <v>522</v>
      </c>
    </row>
    <row r="96" spans="1:3" x14ac:dyDescent="0.25">
      <c r="A96" t="s">
        <v>94</v>
      </c>
      <c r="B96" t="s">
        <v>520</v>
      </c>
      <c r="C96" t="s">
        <v>522</v>
      </c>
    </row>
    <row r="97" spans="1:3" x14ac:dyDescent="0.25">
      <c r="A97" t="s">
        <v>709</v>
      </c>
      <c r="B97" t="s">
        <v>520</v>
      </c>
      <c r="C97" t="s">
        <v>522</v>
      </c>
    </row>
    <row r="98" spans="1:3" x14ac:dyDescent="0.25">
      <c r="A98" t="s">
        <v>95</v>
      </c>
      <c r="B98" t="s">
        <v>520</v>
      </c>
      <c r="C98" t="s">
        <v>522</v>
      </c>
    </row>
    <row r="99" spans="1:3" x14ac:dyDescent="0.25">
      <c r="A99" t="s">
        <v>96</v>
      </c>
      <c r="B99" t="s">
        <v>520</v>
      </c>
      <c r="C99" t="s">
        <v>522</v>
      </c>
    </row>
    <row r="100" spans="1:3" x14ac:dyDescent="0.25">
      <c r="A100" t="s">
        <v>97</v>
      </c>
      <c r="B100" t="s">
        <v>520</v>
      </c>
      <c r="C100" t="s">
        <v>522</v>
      </c>
    </row>
    <row r="101" spans="1:3" x14ac:dyDescent="0.25">
      <c r="A101" t="s">
        <v>98</v>
      </c>
      <c r="B101" t="s">
        <v>520</v>
      </c>
      <c r="C101" t="s">
        <v>522</v>
      </c>
    </row>
    <row r="102" spans="1:3" x14ac:dyDescent="0.25">
      <c r="A102" t="s">
        <v>99</v>
      </c>
      <c r="B102" t="s">
        <v>520</v>
      </c>
      <c r="C102" t="s">
        <v>522</v>
      </c>
    </row>
    <row r="103" spans="1:3" x14ac:dyDescent="0.25">
      <c r="A103" t="s">
        <v>100</v>
      </c>
      <c r="B103" t="s">
        <v>520</v>
      </c>
      <c r="C103" t="s">
        <v>522</v>
      </c>
    </row>
    <row r="104" spans="1:3" x14ac:dyDescent="0.25">
      <c r="A104" t="s">
        <v>101</v>
      </c>
      <c r="B104" t="s">
        <v>520</v>
      </c>
      <c r="C104" t="s">
        <v>522</v>
      </c>
    </row>
    <row r="105" spans="1:3" x14ac:dyDescent="0.25">
      <c r="A105" t="s">
        <v>102</v>
      </c>
      <c r="B105" t="s">
        <v>520</v>
      </c>
      <c r="C105" t="s">
        <v>522</v>
      </c>
    </row>
    <row r="106" spans="1:3" x14ac:dyDescent="0.25">
      <c r="A106" t="s">
        <v>103</v>
      </c>
      <c r="B106" t="s">
        <v>520</v>
      </c>
      <c r="C106" t="s">
        <v>522</v>
      </c>
    </row>
    <row r="107" spans="1:3" x14ac:dyDescent="0.25">
      <c r="A107" t="s">
        <v>104</v>
      </c>
      <c r="B107" t="s">
        <v>520</v>
      </c>
      <c r="C107" t="s">
        <v>522</v>
      </c>
    </row>
    <row r="108" spans="1:3" x14ac:dyDescent="0.25">
      <c r="A108" t="s">
        <v>105</v>
      </c>
      <c r="B108" t="s">
        <v>520</v>
      </c>
      <c r="C108" t="s">
        <v>522</v>
      </c>
    </row>
    <row r="109" spans="1:3" x14ac:dyDescent="0.25">
      <c r="A109" t="s">
        <v>106</v>
      </c>
      <c r="B109" t="s">
        <v>520</v>
      </c>
      <c r="C109" t="s">
        <v>522</v>
      </c>
    </row>
    <row r="110" spans="1:3" x14ac:dyDescent="0.25">
      <c r="A110" t="s">
        <v>107</v>
      </c>
      <c r="B110" t="s">
        <v>520</v>
      </c>
      <c r="C110" t="s">
        <v>522</v>
      </c>
    </row>
    <row r="111" spans="1:3" x14ac:dyDescent="0.25">
      <c r="A111" t="s">
        <v>108</v>
      </c>
      <c r="B111" t="s">
        <v>520</v>
      </c>
      <c r="C111" t="s">
        <v>522</v>
      </c>
    </row>
    <row r="112" spans="1:3" x14ac:dyDescent="0.25">
      <c r="A112" t="s">
        <v>109</v>
      </c>
      <c r="B112" t="s">
        <v>520</v>
      </c>
      <c r="C112" t="s">
        <v>522</v>
      </c>
    </row>
    <row r="113" spans="1:3" x14ac:dyDescent="0.25">
      <c r="A113" t="s">
        <v>110</v>
      </c>
      <c r="B113" t="s">
        <v>520</v>
      </c>
      <c r="C113" t="s">
        <v>522</v>
      </c>
    </row>
    <row r="114" spans="1:3" x14ac:dyDescent="0.25">
      <c r="A114" t="s">
        <v>111</v>
      </c>
      <c r="B114" t="s">
        <v>520</v>
      </c>
      <c r="C114" t="s">
        <v>522</v>
      </c>
    </row>
    <row r="115" spans="1:3" x14ac:dyDescent="0.25">
      <c r="A115" t="s">
        <v>112</v>
      </c>
      <c r="B115" t="s">
        <v>520</v>
      </c>
      <c r="C115" t="s">
        <v>522</v>
      </c>
    </row>
    <row r="116" spans="1:3" x14ac:dyDescent="0.25">
      <c r="A116" t="s">
        <v>113</v>
      </c>
      <c r="B116" t="s">
        <v>520</v>
      </c>
      <c r="C116" t="s">
        <v>522</v>
      </c>
    </row>
    <row r="117" spans="1:3" x14ac:dyDescent="0.25">
      <c r="A117" t="s">
        <v>114</v>
      </c>
      <c r="B117" t="s">
        <v>520</v>
      </c>
      <c r="C117" t="s">
        <v>522</v>
      </c>
    </row>
    <row r="118" spans="1:3" x14ac:dyDescent="0.25">
      <c r="A118" t="s">
        <v>115</v>
      </c>
      <c r="B118" t="s">
        <v>520</v>
      </c>
      <c r="C118" t="s">
        <v>522</v>
      </c>
    </row>
    <row r="119" spans="1:3" x14ac:dyDescent="0.25">
      <c r="A119" t="s">
        <v>525</v>
      </c>
      <c r="B119" t="s">
        <v>520</v>
      </c>
      <c r="C119" t="s">
        <v>522</v>
      </c>
    </row>
    <row r="120" spans="1:3" x14ac:dyDescent="0.25">
      <c r="A120" t="s">
        <v>116</v>
      </c>
      <c r="B120" t="s">
        <v>520</v>
      </c>
      <c r="C120" t="s">
        <v>522</v>
      </c>
    </row>
    <row r="121" spans="1:3" x14ac:dyDescent="0.25">
      <c r="A121" t="s">
        <v>117</v>
      </c>
      <c r="B121" t="s">
        <v>520</v>
      </c>
      <c r="C121" t="s">
        <v>522</v>
      </c>
    </row>
    <row r="122" spans="1:3" x14ac:dyDescent="0.25">
      <c r="A122" t="s">
        <v>118</v>
      </c>
      <c r="B122" t="s">
        <v>520</v>
      </c>
      <c r="C122" t="s">
        <v>522</v>
      </c>
    </row>
    <row r="123" spans="1:3" x14ac:dyDescent="0.25">
      <c r="A123" t="s">
        <v>119</v>
      </c>
      <c r="B123" t="s">
        <v>520</v>
      </c>
      <c r="C123" t="s">
        <v>522</v>
      </c>
    </row>
    <row r="124" spans="1:3" x14ac:dyDescent="0.25">
      <c r="A124" t="s">
        <v>120</v>
      </c>
      <c r="B124" t="s">
        <v>520</v>
      </c>
      <c r="C124" t="s">
        <v>522</v>
      </c>
    </row>
    <row r="125" spans="1:3" x14ac:dyDescent="0.25">
      <c r="A125" t="s">
        <v>121</v>
      </c>
      <c r="B125" t="s">
        <v>520</v>
      </c>
      <c r="C125" t="s">
        <v>522</v>
      </c>
    </row>
    <row r="126" spans="1:3" x14ac:dyDescent="0.25">
      <c r="A126" t="s">
        <v>710</v>
      </c>
      <c r="B126" t="s">
        <v>520</v>
      </c>
      <c r="C126" t="s">
        <v>522</v>
      </c>
    </row>
    <row r="127" spans="1:3" x14ac:dyDescent="0.25">
      <c r="A127" t="s">
        <v>122</v>
      </c>
      <c r="B127" t="s">
        <v>520</v>
      </c>
      <c r="C127" t="s">
        <v>522</v>
      </c>
    </row>
    <row r="128" spans="1:3" x14ac:dyDescent="0.25">
      <c r="A128" t="s">
        <v>123</v>
      </c>
      <c r="B128" t="s">
        <v>520</v>
      </c>
      <c r="C128" t="s">
        <v>522</v>
      </c>
    </row>
    <row r="129" spans="1:3" x14ac:dyDescent="0.25">
      <c r="A129" t="s">
        <v>124</v>
      </c>
      <c r="B129" t="s">
        <v>520</v>
      </c>
      <c r="C129" t="s">
        <v>522</v>
      </c>
    </row>
    <row r="130" spans="1:3" x14ac:dyDescent="0.25">
      <c r="A130" t="s">
        <v>125</v>
      </c>
      <c r="B130" t="s">
        <v>520</v>
      </c>
      <c r="C130" t="s">
        <v>522</v>
      </c>
    </row>
    <row r="131" spans="1:3" x14ac:dyDescent="0.25">
      <c r="A131" t="s">
        <v>126</v>
      </c>
      <c r="B131" t="s">
        <v>520</v>
      </c>
      <c r="C131" t="s">
        <v>522</v>
      </c>
    </row>
    <row r="132" spans="1:3" x14ac:dyDescent="0.25">
      <c r="A132" t="s">
        <v>127</v>
      </c>
      <c r="B132" t="s">
        <v>520</v>
      </c>
      <c r="C132" t="s">
        <v>522</v>
      </c>
    </row>
    <row r="133" spans="1:3" x14ac:dyDescent="0.25">
      <c r="A133" t="s">
        <v>128</v>
      </c>
      <c r="B133" t="s">
        <v>520</v>
      </c>
      <c r="C133" t="s">
        <v>522</v>
      </c>
    </row>
    <row r="134" spans="1:3" x14ac:dyDescent="0.25">
      <c r="A134" t="s">
        <v>129</v>
      </c>
      <c r="B134" t="s">
        <v>520</v>
      </c>
      <c r="C134" t="s">
        <v>522</v>
      </c>
    </row>
    <row r="135" spans="1:3" x14ac:dyDescent="0.25">
      <c r="A135" t="s">
        <v>130</v>
      </c>
      <c r="B135" t="s">
        <v>520</v>
      </c>
      <c r="C135" t="s">
        <v>522</v>
      </c>
    </row>
    <row r="136" spans="1:3" x14ac:dyDescent="0.25">
      <c r="A136" t="s">
        <v>131</v>
      </c>
      <c r="B136" t="s">
        <v>520</v>
      </c>
      <c r="C136" t="s">
        <v>522</v>
      </c>
    </row>
    <row r="137" spans="1:3" x14ac:dyDescent="0.25">
      <c r="A137" t="s">
        <v>132</v>
      </c>
      <c r="B137" t="s">
        <v>520</v>
      </c>
      <c r="C137" t="s">
        <v>522</v>
      </c>
    </row>
    <row r="138" spans="1:3" x14ac:dyDescent="0.25">
      <c r="A138" t="s">
        <v>133</v>
      </c>
      <c r="B138" t="s">
        <v>520</v>
      </c>
      <c r="C138" t="s">
        <v>522</v>
      </c>
    </row>
    <row r="139" spans="1:3" x14ac:dyDescent="0.25">
      <c r="A139" t="s">
        <v>134</v>
      </c>
      <c r="B139" t="s">
        <v>520</v>
      </c>
      <c r="C139" t="s">
        <v>522</v>
      </c>
    </row>
    <row r="140" spans="1:3" x14ac:dyDescent="0.25">
      <c r="A140" t="s">
        <v>135</v>
      </c>
      <c r="B140" t="s">
        <v>520</v>
      </c>
      <c r="C140" t="s">
        <v>522</v>
      </c>
    </row>
    <row r="141" spans="1:3" x14ac:dyDescent="0.25">
      <c r="A141" t="s">
        <v>136</v>
      </c>
      <c r="B141" t="s">
        <v>520</v>
      </c>
      <c r="C141" t="s">
        <v>522</v>
      </c>
    </row>
    <row r="142" spans="1:3" x14ac:dyDescent="0.25">
      <c r="A142" t="s">
        <v>137</v>
      </c>
      <c r="B142" t="s">
        <v>520</v>
      </c>
      <c r="C142" t="s">
        <v>522</v>
      </c>
    </row>
    <row r="143" spans="1:3" x14ac:dyDescent="0.25">
      <c r="A143" t="s">
        <v>138</v>
      </c>
      <c r="B143" t="s">
        <v>520</v>
      </c>
      <c r="C143" t="s">
        <v>522</v>
      </c>
    </row>
    <row r="144" spans="1:3" x14ac:dyDescent="0.25">
      <c r="A144" t="s">
        <v>139</v>
      </c>
      <c r="B144" t="s">
        <v>520</v>
      </c>
      <c r="C144" t="s">
        <v>522</v>
      </c>
    </row>
    <row r="145" spans="1:3" x14ac:dyDescent="0.25">
      <c r="A145" t="s">
        <v>140</v>
      </c>
      <c r="B145" t="s">
        <v>520</v>
      </c>
      <c r="C145" t="s">
        <v>522</v>
      </c>
    </row>
    <row r="146" spans="1:3" x14ac:dyDescent="0.25">
      <c r="A146" t="s">
        <v>141</v>
      </c>
      <c r="B146" t="s">
        <v>520</v>
      </c>
      <c r="C146" t="s">
        <v>522</v>
      </c>
    </row>
    <row r="147" spans="1:3" x14ac:dyDescent="0.25">
      <c r="A147" t="s">
        <v>142</v>
      </c>
      <c r="B147" t="s">
        <v>520</v>
      </c>
      <c r="C147" t="s">
        <v>522</v>
      </c>
    </row>
    <row r="148" spans="1:3" x14ac:dyDescent="0.25">
      <c r="A148" t="s">
        <v>143</v>
      </c>
      <c r="B148" t="s">
        <v>520</v>
      </c>
      <c r="C148" t="s">
        <v>522</v>
      </c>
    </row>
    <row r="149" spans="1:3" x14ac:dyDescent="0.25">
      <c r="A149" t="s">
        <v>144</v>
      </c>
      <c r="B149" t="s">
        <v>520</v>
      </c>
      <c r="C149" t="s">
        <v>522</v>
      </c>
    </row>
    <row r="150" spans="1:3" x14ac:dyDescent="0.25">
      <c r="A150" t="s">
        <v>145</v>
      </c>
      <c r="B150" t="s">
        <v>520</v>
      </c>
      <c r="C150" t="s">
        <v>522</v>
      </c>
    </row>
    <row r="151" spans="1:3" x14ac:dyDescent="0.25">
      <c r="A151" t="s">
        <v>146</v>
      </c>
      <c r="B151" t="s">
        <v>520</v>
      </c>
      <c r="C151" t="s">
        <v>522</v>
      </c>
    </row>
    <row r="152" spans="1:3" x14ac:dyDescent="0.25">
      <c r="A152" t="s">
        <v>147</v>
      </c>
      <c r="B152" t="s">
        <v>520</v>
      </c>
      <c r="C152" t="s">
        <v>522</v>
      </c>
    </row>
    <row r="153" spans="1:3" x14ac:dyDescent="0.25">
      <c r="A153" t="s">
        <v>148</v>
      </c>
      <c r="B153" t="s">
        <v>520</v>
      </c>
      <c r="C153" t="s">
        <v>522</v>
      </c>
    </row>
    <row r="154" spans="1:3" x14ac:dyDescent="0.25">
      <c r="A154" t="s">
        <v>149</v>
      </c>
      <c r="B154" t="s">
        <v>520</v>
      </c>
      <c r="C154" t="s">
        <v>522</v>
      </c>
    </row>
    <row r="155" spans="1:3" x14ac:dyDescent="0.25">
      <c r="A155" t="s">
        <v>150</v>
      </c>
      <c r="B155" t="s">
        <v>520</v>
      </c>
      <c r="C155" t="s">
        <v>522</v>
      </c>
    </row>
    <row r="156" spans="1:3" x14ac:dyDescent="0.25">
      <c r="A156" t="s">
        <v>151</v>
      </c>
      <c r="B156" t="s">
        <v>520</v>
      </c>
      <c r="C156" t="s">
        <v>522</v>
      </c>
    </row>
    <row r="157" spans="1:3" x14ac:dyDescent="0.25">
      <c r="A157" t="s">
        <v>152</v>
      </c>
      <c r="B157" t="s">
        <v>520</v>
      </c>
      <c r="C157" t="s">
        <v>522</v>
      </c>
    </row>
    <row r="158" spans="1:3" x14ac:dyDescent="0.25">
      <c r="A158" t="s">
        <v>153</v>
      </c>
      <c r="B158" t="s">
        <v>520</v>
      </c>
      <c r="C158" t="s">
        <v>522</v>
      </c>
    </row>
    <row r="159" spans="1:3" x14ac:dyDescent="0.25">
      <c r="A159" t="s">
        <v>154</v>
      </c>
      <c r="B159" t="s">
        <v>520</v>
      </c>
      <c r="C159" t="s">
        <v>522</v>
      </c>
    </row>
    <row r="160" spans="1:3" x14ac:dyDescent="0.25">
      <c r="A160" t="s">
        <v>155</v>
      </c>
      <c r="B160" t="s">
        <v>520</v>
      </c>
      <c r="C160" t="s">
        <v>522</v>
      </c>
    </row>
    <row r="161" spans="1:3" x14ac:dyDescent="0.25">
      <c r="A161" t="s">
        <v>156</v>
      </c>
      <c r="B161" t="s">
        <v>520</v>
      </c>
      <c r="C161" t="s">
        <v>522</v>
      </c>
    </row>
    <row r="162" spans="1:3" x14ac:dyDescent="0.25">
      <c r="A162" t="s">
        <v>157</v>
      </c>
      <c r="B162" t="s">
        <v>520</v>
      </c>
      <c r="C162" t="s">
        <v>522</v>
      </c>
    </row>
    <row r="163" spans="1:3" x14ac:dyDescent="0.25">
      <c r="A163" t="s">
        <v>158</v>
      </c>
      <c r="B163" t="s">
        <v>520</v>
      </c>
      <c r="C163" t="s">
        <v>522</v>
      </c>
    </row>
    <row r="164" spans="1:3" x14ac:dyDescent="0.25">
      <c r="A164" t="s">
        <v>159</v>
      </c>
      <c r="B164" t="s">
        <v>520</v>
      </c>
      <c r="C164" t="s">
        <v>522</v>
      </c>
    </row>
    <row r="165" spans="1:3" x14ac:dyDescent="0.25">
      <c r="A165" t="s">
        <v>160</v>
      </c>
      <c r="B165" t="s">
        <v>520</v>
      </c>
      <c r="C165" t="s">
        <v>522</v>
      </c>
    </row>
    <row r="166" spans="1:3" x14ac:dyDescent="0.25">
      <c r="A166" t="s">
        <v>161</v>
      </c>
      <c r="B166" t="s">
        <v>520</v>
      </c>
      <c r="C166" t="s">
        <v>522</v>
      </c>
    </row>
    <row r="167" spans="1:3" x14ac:dyDescent="0.25">
      <c r="A167" t="s">
        <v>162</v>
      </c>
      <c r="B167" t="s">
        <v>520</v>
      </c>
      <c r="C167" t="s">
        <v>522</v>
      </c>
    </row>
    <row r="168" spans="1:3" x14ac:dyDescent="0.25">
      <c r="A168" t="s">
        <v>163</v>
      </c>
      <c r="B168" t="s">
        <v>520</v>
      </c>
      <c r="C168" t="s">
        <v>522</v>
      </c>
    </row>
    <row r="169" spans="1:3" x14ac:dyDescent="0.25">
      <c r="A169" t="s">
        <v>164</v>
      </c>
      <c r="B169" t="s">
        <v>520</v>
      </c>
      <c r="C169" t="s">
        <v>522</v>
      </c>
    </row>
    <row r="170" spans="1:3" x14ac:dyDescent="0.25">
      <c r="A170" t="s">
        <v>165</v>
      </c>
      <c r="B170" t="s">
        <v>520</v>
      </c>
      <c r="C170" t="s">
        <v>522</v>
      </c>
    </row>
    <row r="171" spans="1:3" x14ac:dyDescent="0.25">
      <c r="A171" t="s">
        <v>166</v>
      </c>
      <c r="B171" t="s">
        <v>520</v>
      </c>
      <c r="C171" t="s">
        <v>522</v>
      </c>
    </row>
    <row r="172" spans="1:3" x14ac:dyDescent="0.25">
      <c r="A172" t="s">
        <v>167</v>
      </c>
      <c r="B172" t="s">
        <v>520</v>
      </c>
      <c r="C172" t="s">
        <v>522</v>
      </c>
    </row>
    <row r="173" spans="1:3" x14ac:dyDescent="0.25">
      <c r="A173" t="s">
        <v>168</v>
      </c>
      <c r="B173" t="s">
        <v>520</v>
      </c>
      <c r="C173" t="s">
        <v>522</v>
      </c>
    </row>
    <row r="174" spans="1:3" x14ac:dyDescent="0.25">
      <c r="A174" t="s">
        <v>169</v>
      </c>
      <c r="B174" t="s">
        <v>520</v>
      </c>
      <c r="C174" t="s">
        <v>522</v>
      </c>
    </row>
    <row r="175" spans="1:3" x14ac:dyDescent="0.25">
      <c r="A175" t="s">
        <v>170</v>
      </c>
      <c r="B175" t="s">
        <v>520</v>
      </c>
      <c r="C175" t="s">
        <v>522</v>
      </c>
    </row>
    <row r="176" spans="1:3" x14ac:dyDescent="0.25">
      <c r="A176" t="s">
        <v>171</v>
      </c>
      <c r="B176" t="s">
        <v>520</v>
      </c>
      <c r="C176" t="s">
        <v>522</v>
      </c>
    </row>
    <row r="177" spans="1:3" x14ac:dyDescent="0.25">
      <c r="A177" t="s">
        <v>172</v>
      </c>
      <c r="B177" t="s">
        <v>520</v>
      </c>
      <c r="C177" t="s">
        <v>522</v>
      </c>
    </row>
    <row r="178" spans="1:3" x14ac:dyDescent="0.25">
      <c r="A178" t="s">
        <v>173</v>
      </c>
      <c r="B178" t="s">
        <v>520</v>
      </c>
      <c r="C178" t="s">
        <v>522</v>
      </c>
    </row>
    <row r="179" spans="1:3" x14ac:dyDescent="0.25">
      <c r="A179" t="s">
        <v>174</v>
      </c>
      <c r="B179" t="s">
        <v>520</v>
      </c>
      <c r="C179" t="s">
        <v>522</v>
      </c>
    </row>
    <row r="180" spans="1:3" x14ac:dyDescent="0.25">
      <c r="A180" t="s">
        <v>175</v>
      </c>
      <c r="B180" t="s">
        <v>520</v>
      </c>
      <c r="C180" t="s">
        <v>522</v>
      </c>
    </row>
    <row r="181" spans="1:3" x14ac:dyDescent="0.25">
      <c r="A181" t="s">
        <v>176</v>
      </c>
      <c r="B181" t="s">
        <v>520</v>
      </c>
      <c r="C181" t="s">
        <v>522</v>
      </c>
    </row>
    <row r="182" spans="1:3" x14ac:dyDescent="0.25">
      <c r="A182" t="s">
        <v>177</v>
      </c>
      <c r="B182" t="s">
        <v>520</v>
      </c>
      <c r="C182" t="s">
        <v>522</v>
      </c>
    </row>
    <row r="183" spans="1:3" x14ac:dyDescent="0.25">
      <c r="A183" t="s">
        <v>178</v>
      </c>
      <c r="B183" t="s">
        <v>520</v>
      </c>
      <c r="C183" t="s">
        <v>522</v>
      </c>
    </row>
    <row r="184" spans="1:3" x14ac:dyDescent="0.25">
      <c r="A184" t="s">
        <v>179</v>
      </c>
      <c r="B184" t="s">
        <v>520</v>
      </c>
      <c r="C184" t="s">
        <v>522</v>
      </c>
    </row>
    <row r="185" spans="1:3" x14ac:dyDescent="0.25">
      <c r="A185" t="s">
        <v>180</v>
      </c>
      <c r="B185" t="s">
        <v>520</v>
      </c>
      <c r="C185" t="s">
        <v>522</v>
      </c>
    </row>
    <row r="186" spans="1:3" x14ac:dyDescent="0.25">
      <c r="A186" t="s">
        <v>181</v>
      </c>
      <c r="B186" t="s">
        <v>520</v>
      </c>
      <c r="C186" t="s">
        <v>522</v>
      </c>
    </row>
    <row r="187" spans="1:3" x14ac:dyDescent="0.25">
      <c r="A187" t="s">
        <v>182</v>
      </c>
      <c r="B187" t="s">
        <v>520</v>
      </c>
      <c r="C187" t="s">
        <v>522</v>
      </c>
    </row>
    <row r="188" spans="1:3" x14ac:dyDescent="0.25">
      <c r="A188" t="s">
        <v>183</v>
      </c>
      <c r="B188" t="s">
        <v>520</v>
      </c>
      <c r="C188" t="s">
        <v>522</v>
      </c>
    </row>
    <row r="189" spans="1:3" x14ac:dyDescent="0.25">
      <c r="A189" t="s">
        <v>184</v>
      </c>
      <c r="B189" t="s">
        <v>520</v>
      </c>
      <c r="C189" t="s">
        <v>522</v>
      </c>
    </row>
    <row r="190" spans="1:3" x14ac:dyDescent="0.25">
      <c r="A190" t="s">
        <v>185</v>
      </c>
      <c r="B190" t="s">
        <v>520</v>
      </c>
      <c r="C190" t="s">
        <v>522</v>
      </c>
    </row>
    <row r="191" spans="1:3" x14ac:dyDescent="0.25">
      <c r="A191" t="s">
        <v>186</v>
      </c>
      <c r="B191" t="s">
        <v>520</v>
      </c>
      <c r="C191" t="s">
        <v>522</v>
      </c>
    </row>
    <row r="192" spans="1:3" x14ac:dyDescent="0.25">
      <c r="A192" t="s">
        <v>187</v>
      </c>
      <c r="B192" t="s">
        <v>520</v>
      </c>
      <c r="C192" t="s">
        <v>522</v>
      </c>
    </row>
    <row r="193" spans="1:3" x14ac:dyDescent="0.25">
      <c r="A193" t="s">
        <v>188</v>
      </c>
      <c r="B193" t="s">
        <v>520</v>
      </c>
      <c r="C193" t="s">
        <v>522</v>
      </c>
    </row>
    <row r="194" spans="1:3" x14ac:dyDescent="0.25">
      <c r="A194" t="s">
        <v>189</v>
      </c>
      <c r="B194" t="s">
        <v>520</v>
      </c>
      <c r="C194" t="s">
        <v>522</v>
      </c>
    </row>
    <row r="195" spans="1:3" x14ac:dyDescent="0.25">
      <c r="A195" t="s">
        <v>190</v>
      </c>
      <c r="B195" t="s">
        <v>520</v>
      </c>
      <c r="C195" t="s">
        <v>522</v>
      </c>
    </row>
    <row r="196" spans="1:3" x14ac:dyDescent="0.25">
      <c r="A196" t="s">
        <v>191</v>
      </c>
      <c r="B196" t="s">
        <v>520</v>
      </c>
      <c r="C196" t="s">
        <v>522</v>
      </c>
    </row>
    <row r="197" spans="1:3" x14ac:dyDescent="0.25">
      <c r="A197" t="s">
        <v>192</v>
      </c>
      <c r="B197" t="s">
        <v>520</v>
      </c>
      <c r="C197" t="s">
        <v>522</v>
      </c>
    </row>
    <row r="198" spans="1:3" x14ac:dyDescent="0.25">
      <c r="A198" t="s">
        <v>193</v>
      </c>
      <c r="B198" t="s">
        <v>520</v>
      </c>
      <c r="C198" t="s">
        <v>522</v>
      </c>
    </row>
    <row r="199" spans="1:3" x14ac:dyDescent="0.25">
      <c r="A199" t="s">
        <v>194</v>
      </c>
      <c r="B199" t="s">
        <v>520</v>
      </c>
      <c r="C199" t="s">
        <v>522</v>
      </c>
    </row>
    <row r="200" spans="1:3" x14ac:dyDescent="0.25">
      <c r="A200" t="s">
        <v>195</v>
      </c>
      <c r="B200" t="s">
        <v>520</v>
      </c>
      <c r="C200" t="s">
        <v>522</v>
      </c>
    </row>
    <row r="201" spans="1:3" x14ac:dyDescent="0.25">
      <c r="A201" t="s">
        <v>196</v>
      </c>
      <c r="B201" t="s">
        <v>520</v>
      </c>
      <c r="C201" t="s">
        <v>522</v>
      </c>
    </row>
    <row r="202" spans="1:3" x14ac:dyDescent="0.25">
      <c r="A202" t="s">
        <v>197</v>
      </c>
      <c r="B202" t="s">
        <v>520</v>
      </c>
      <c r="C202" t="s">
        <v>522</v>
      </c>
    </row>
    <row r="203" spans="1:3" x14ac:dyDescent="0.25">
      <c r="A203" t="s">
        <v>198</v>
      </c>
      <c r="B203" t="s">
        <v>520</v>
      </c>
      <c r="C203" t="s">
        <v>522</v>
      </c>
    </row>
    <row r="204" spans="1:3" x14ac:dyDescent="0.25">
      <c r="A204" t="s">
        <v>199</v>
      </c>
      <c r="B204" t="s">
        <v>520</v>
      </c>
      <c r="C204" t="s">
        <v>522</v>
      </c>
    </row>
    <row r="205" spans="1:3" x14ac:dyDescent="0.25">
      <c r="A205" t="s">
        <v>200</v>
      </c>
      <c r="B205" t="s">
        <v>520</v>
      </c>
      <c r="C205" t="s">
        <v>522</v>
      </c>
    </row>
    <row r="206" spans="1:3" x14ac:dyDescent="0.25">
      <c r="A206" t="s">
        <v>201</v>
      </c>
      <c r="B206" t="s">
        <v>520</v>
      </c>
      <c r="C206" t="s">
        <v>522</v>
      </c>
    </row>
    <row r="207" spans="1:3" x14ac:dyDescent="0.25">
      <c r="A207" t="s">
        <v>202</v>
      </c>
      <c r="B207" t="s">
        <v>520</v>
      </c>
      <c r="C207" t="s">
        <v>522</v>
      </c>
    </row>
    <row r="208" spans="1:3" x14ac:dyDescent="0.25">
      <c r="A208" t="s">
        <v>203</v>
      </c>
      <c r="B208" t="s">
        <v>520</v>
      </c>
      <c r="C208" t="s">
        <v>522</v>
      </c>
    </row>
    <row r="209" spans="1:3" x14ac:dyDescent="0.25">
      <c r="A209" t="s">
        <v>204</v>
      </c>
      <c r="B209" t="s">
        <v>520</v>
      </c>
      <c r="C209" t="s">
        <v>522</v>
      </c>
    </row>
    <row r="210" spans="1:3" x14ac:dyDescent="0.25">
      <c r="A210" t="s">
        <v>205</v>
      </c>
      <c r="B210" t="s">
        <v>520</v>
      </c>
      <c r="C210" t="s">
        <v>522</v>
      </c>
    </row>
    <row r="211" spans="1:3" x14ac:dyDescent="0.25">
      <c r="A211" t="s">
        <v>206</v>
      </c>
      <c r="B211" t="s">
        <v>520</v>
      </c>
      <c r="C211" t="s">
        <v>522</v>
      </c>
    </row>
    <row r="212" spans="1:3" x14ac:dyDescent="0.25">
      <c r="A212" t="s">
        <v>207</v>
      </c>
      <c r="B212" t="s">
        <v>520</v>
      </c>
      <c r="C212" t="s">
        <v>522</v>
      </c>
    </row>
    <row r="213" spans="1:3" x14ac:dyDescent="0.25">
      <c r="A213" t="s">
        <v>208</v>
      </c>
      <c r="B213" t="s">
        <v>520</v>
      </c>
      <c r="C213" t="s">
        <v>522</v>
      </c>
    </row>
    <row r="214" spans="1:3" x14ac:dyDescent="0.25">
      <c r="A214" t="s">
        <v>209</v>
      </c>
      <c r="B214" t="s">
        <v>520</v>
      </c>
      <c r="C214" t="s">
        <v>522</v>
      </c>
    </row>
    <row r="215" spans="1:3" x14ac:dyDescent="0.25">
      <c r="A215" t="s">
        <v>210</v>
      </c>
      <c r="B215" t="s">
        <v>520</v>
      </c>
      <c r="C215" t="s">
        <v>522</v>
      </c>
    </row>
    <row r="216" spans="1:3" x14ac:dyDescent="0.25">
      <c r="A216" t="s">
        <v>211</v>
      </c>
      <c r="B216" t="s">
        <v>520</v>
      </c>
      <c r="C216" t="s">
        <v>522</v>
      </c>
    </row>
    <row r="217" spans="1:3" x14ac:dyDescent="0.25">
      <c r="A217" t="s">
        <v>212</v>
      </c>
      <c r="B217" t="s">
        <v>520</v>
      </c>
      <c r="C217" t="s">
        <v>522</v>
      </c>
    </row>
    <row r="218" spans="1:3" x14ac:dyDescent="0.25">
      <c r="A218" t="s">
        <v>213</v>
      </c>
      <c r="B218" t="s">
        <v>520</v>
      </c>
      <c r="C218" t="s">
        <v>522</v>
      </c>
    </row>
    <row r="219" spans="1:3" x14ac:dyDescent="0.25">
      <c r="A219" t="s">
        <v>214</v>
      </c>
      <c r="B219" t="s">
        <v>520</v>
      </c>
      <c r="C219" t="s">
        <v>522</v>
      </c>
    </row>
    <row r="220" spans="1:3" x14ac:dyDescent="0.25">
      <c r="A220" t="s">
        <v>215</v>
      </c>
      <c r="B220" t="s">
        <v>520</v>
      </c>
      <c r="C220" t="s">
        <v>522</v>
      </c>
    </row>
    <row r="221" spans="1:3" x14ac:dyDescent="0.25">
      <c r="A221" t="s">
        <v>216</v>
      </c>
      <c r="B221" t="s">
        <v>520</v>
      </c>
      <c r="C221" t="s">
        <v>522</v>
      </c>
    </row>
    <row r="222" spans="1:3" x14ac:dyDescent="0.25">
      <c r="A222" t="s">
        <v>217</v>
      </c>
      <c r="B222" t="s">
        <v>520</v>
      </c>
      <c r="C222" t="s">
        <v>522</v>
      </c>
    </row>
    <row r="223" spans="1:3" x14ac:dyDescent="0.25">
      <c r="A223" t="s">
        <v>218</v>
      </c>
      <c r="B223" t="s">
        <v>520</v>
      </c>
      <c r="C223" t="s">
        <v>522</v>
      </c>
    </row>
    <row r="224" spans="1:3" x14ac:dyDescent="0.25">
      <c r="A224" t="s">
        <v>219</v>
      </c>
      <c r="B224" t="s">
        <v>520</v>
      </c>
      <c r="C224" t="s">
        <v>522</v>
      </c>
    </row>
    <row r="225" spans="1:3" x14ac:dyDescent="0.25">
      <c r="A225" t="s">
        <v>220</v>
      </c>
      <c r="B225" t="s">
        <v>520</v>
      </c>
      <c r="C225" t="s">
        <v>522</v>
      </c>
    </row>
    <row r="226" spans="1:3" x14ac:dyDescent="0.25">
      <c r="A226" t="s">
        <v>221</v>
      </c>
      <c r="B226" t="s">
        <v>520</v>
      </c>
      <c r="C226" t="s">
        <v>522</v>
      </c>
    </row>
    <row r="227" spans="1:3" x14ac:dyDescent="0.25">
      <c r="A227" t="s">
        <v>222</v>
      </c>
      <c r="B227" t="s">
        <v>520</v>
      </c>
      <c r="C227" t="s">
        <v>522</v>
      </c>
    </row>
    <row r="228" spans="1:3" x14ac:dyDescent="0.25">
      <c r="A228" t="s">
        <v>223</v>
      </c>
      <c r="B228" t="s">
        <v>520</v>
      </c>
      <c r="C228" t="s">
        <v>522</v>
      </c>
    </row>
    <row r="229" spans="1:3" x14ac:dyDescent="0.25">
      <c r="A229" t="s">
        <v>224</v>
      </c>
      <c r="B229" t="s">
        <v>520</v>
      </c>
      <c r="C229" t="s">
        <v>522</v>
      </c>
    </row>
    <row r="230" spans="1:3" x14ac:dyDescent="0.25">
      <c r="A230" t="s">
        <v>225</v>
      </c>
      <c r="B230" t="s">
        <v>520</v>
      </c>
      <c r="C230" t="s">
        <v>522</v>
      </c>
    </row>
    <row r="231" spans="1:3" x14ac:dyDescent="0.25">
      <c r="A231" t="s">
        <v>226</v>
      </c>
      <c r="B231" t="s">
        <v>520</v>
      </c>
      <c r="C231" t="s">
        <v>522</v>
      </c>
    </row>
    <row r="232" spans="1:3" x14ac:dyDescent="0.25">
      <c r="A232" t="s">
        <v>227</v>
      </c>
      <c r="B232" t="s">
        <v>520</v>
      </c>
      <c r="C232" t="s">
        <v>522</v>
      </c>
    </row>
    <row r="233" spans="1:3" x14ac:dyDescent="0.25">
      <c r="A233" t="s">
        <v>228</v>
      </c>
      <c r="B233" t="s">
        <v>520</v>
      </c>
      <c r="C233" t="s">
        <v>522</v>
      </c>
    </row>
    <row r="234" spans="1:3" x14ac:dyDescent="0.25">
      <c r="A234" t="s">
        <v>229</v>
      </c>
      <c r="B234" t="s">
        <v>520</v>
      </c>
      <c r="C234" t="s">
        <v>522</v>
      </c>
    </row>
    <row r="235" spans="1:3" x14ac:dyDescent="0.25">
      <c r="A235" t="s">
        <v>230</v>
      </c>
      <c r="B235" t="s">
        <v>520</v>
      </c>
      <c r="C235" t="s">
        <v>522</v>
      </c>
    </row>
    <row r="236" spans="1:3" x14ac:dyDescent="0.25">
      <c r="A236" t="s">
        <v>231</v>
      </c>
      <c r="B236" t="s">
        <v>520</v>
      </c>
      <c r="C236" t="s">
        <v>522</v>
      </c>
    </row>
    <row r="237" spans="1:3" x14ac:dyDescent="0.25">
      <c r="A237" t="s">
        <v>232</v>
      </c>
      <c r="B237" t="s">
        <v>520</v>
      </c>
      <c r="C237" t="s">
        <v>522</v>
      </c>
    </row>
    <row r="238" spans="1:3" x14ac:dyDescent="0.25">
      <c r="A238" t="s">
        <v>233</v>
      </c>
      <c r="B238" t="s">
        <v>520</v>
      </c>
      <c r="C238" t="s">
        <v>522</v>
      </c>
    </row>
    <row r="239" spans="1:3" x14ac:dyDescent="0.25">
      <c r="A239" t="s">
        <v>234</v>
      </c>
      <c r="B239" t="s">
        <v>520</v>
      </c>
      <c r="C239" t="s">
        <v>522</v>
      </c>
    </row>
    <row r="240" spans="1:3" x14ac:dyDescent="0.25">
      <c r="A240" t="s">
        <v>235</v>
      </c>
      <c r="B240" t="s">
        <v>520</v>
      </c>
      <c r="C240" t="s">
        <v>522</v>
      </c>
    </row>
    <row r="241" spans="1:3" x14ac:dyDescent="0.25">
      <c r="A241" t="s">
        <v>236</v>
      </c>
      <c r="B241" t="s">
        <v>520</v>
      </c>
      <c r="C241" t="s">
        <v>522</v>
      </c>
    </row>
    <row r="242" spans="1:3" x14ac:dyDescent="0.25">
      <c r="A242" t="s">
        <v>237</v>
      </c>
      <c r="B242" t="s">
        <v>520</v>
      </c>
      <c r="C242" t="s">
        <v>522</v>
      </c>
    </row>
    <row r="243" spans="1:3" x14ac:dyDescent="0.25">
      <c r="A243" t="s">
        <v>238</v>
      </c>
      <c r="B243" t="s">
        <v>520</v>
      </c>
      <c r="C243" t="s">
        <v>522</v>
      </c>
    </row>
    <row r="244" spans="1:3" x14ac:dyDescent="0.25">
      <c r="A244" t="s">
        <v>239</v>
      </c>
      <c r="B244" t="s">
        <v>520</v>
      </c>
      <c r="C244" t="s">
        <v>522</v>
      </c>
    </row>
    <row r="245" spans="1:3" x14ac:dyDescent="0.25">
      <c r="A245" t="s">
        <v>240</v>
      </c>
      <c r="B245" t="s">
        <v>520</v>
      </c>
      <c r="C245" t="s">
        <v>522</v>
      </c>
    </row>
    <row r="246" spans="1:3" x14ac:dyDescent="0.25">
      <c r="A246" t="s">
        <v>241</v>
      </c>
      <c r="B246" t="s">
        <v>520</v>
      </c>
      <c r="C246" t="s">
        <v>522</v>
      </c>
    </row>
    <row r="247" spans="1:3" x14ac:dyDescent="0.25">
      <c r="A247" t="s">
        <v>242</v>
      </c>
      <c r="B247" t="s">
        <v>520</v>
      </c>
      <c r="C247" t="s">
        <v>522</v>
      </c>
    </row>
    <row r="248" spans="1:3" x14ac:dyDescent="0.25">
      <c r="A248" t="s">
        <v>243</v>
      </c>
      <c r="B248" t="s">
        <v>520</v>
      </c>
      <c r="C248" t="s">
        <v>522</v>
      </c>
    </row>
    <row r="249" spans="1:3" x14ac:dyDescent="0.25">
      <c r="A249" t="s">
        <v>711</v>
      </c>
      <c r="B249" t="s">
        <v>520</v>
      </c>
      <c r="C249" t="s">
        <v>522</v>
      </c>
    </row>
    <row r="250" spans="1:3" x14ac:dyDescent="0.25">
      <c r="A250" t="s">
        <v>244</v>
      </c>
      <c r="B250" t="s">
        <v>520</v>
      </c>
      <c r="C250" t="s">
        <v>522</v>
      </c>
    </row>
    <row r="251" spans="1:3" x14ac:dyDescent="0.25">
      <c r="A251" t="s">
        <v>245</v>
      </c>
      <c r="B251" t="s">
        <v>520</v>
      </c>
      <c r="C251" t="s">
        <v>522</v>
      </c>
    </row>
    <row r="252" spans="1:3" x14ac:dyDescent="0.25">
      <c r="A252" t="s">
        <v>246</v>
      </c>
      <c r="B252" t="s">
        <v>520</v>
      </c>
      <c r="C252" t="s">
        <v>522</v>
      </c>
    </row>
    <row r="253" spans="1:3" x14ac:dyDescent="0.25">
      <c r="A253" t="s">
        <v>247</v>
      </c>
      <c r="B253" t="s">
        <v>520</v>
      </c>
      <c r="C253" t="s">
        <v>522</v>
      </c>
    </row>
    <row r="254" spans="1:3" x14ac:dyDescent="0.25">
      <c r="A254" t="s">
        <v>248</v>
      </c>
      <c r="B254" t="s">
        <v>520</v>
      </c>
      <c r="C254" t="s">
        <v>522</v>
      </c>
    </row>
    <row r="255" spans="1:3" x14ac:dyDescent="0.25">
      <c r="A255" t="s">
        <v>249</v>
      </c>
      <c r="B255" t="s">
        <v>520</v>
      </c>
      <c r="C255" t="s">
        <v>522</v>
      </c>
    </row>
    <row r="256" spans="1:3" x14ac:dyDescent="0.25">
      <c r="A256" t="s">
        <v>250</v>
      </c>
      <c r="B256" t="s">
        <v>520</v>
      </c>
      <c r="C256" t="s">
        <v>522</v>
      </c>
    </row>
    <row r="257" spans="1:3" x14ac:dyDescent="0.25">
      <c r="A257" t="s">
        <v>251</v>
      </c>
      <c r="B257" t="s">
        <v>520</v>
      </c>
      <c r="C257" t="s">
        <v>522</v>
      </c>
    </row>
    <row r="258" spans="1:3" x14ac:dyDescent="0.25">
      <c r="A258" t="s">
        <v>252</v>
      </c>
      <c r="B258" t="s">
        <v>520</v>
      </c>
      <c r="C258" t="s">
        <v>522</v>
      </c>
    </row>
    <row r="259" spans="1:3" x14ac:dyDescent="0.25">
      <c r="A259" t="s">
        <v>253</v>
      </c>
      <c r="B259" t="s">
        <v>520</v>
      </c>
      <c r="C259" t="s">
        <v>522</v>
      </c>
    </row>
    <row r="260" spans="1:3" x14ac:dyDescent="0.25">
      <c r="A260" t="s">
        <v>526</v>
      </c>
      <c r="B260" t="s">
        <v>520</v>
      </c>
      <c r="C260" t="s">
        <v>522</v>
      </c>
    </row>
    <row r="261" spans="1:3" x14ac:dyDescent="0.25">
      <c r="A261" t="s">
        <v>254</v>
      </c>
      <c r="B261" t="s">
        <v>520</v>
      </c>
      <c r="C261" t="s">
        <v>522</v>
      </c>
    </row>
    <row r="262" spans="1:3" x14ac:dyDescent="0.25">
      <c r="A262" t="s">
        <v>255</v>
      </c>
      <c r="B262" t="s">
        <v>520</v>
      </c>
      <c r="C262" t="s">
        <v>522</v>
      </c>
    </row>
    <row r="263" spans="1:3" x14ac:dyDescent="0.25">
      <c r="A263" t="s">
        <v>256</v>
      </c>
      <c r="B263" t="s">
        <v>520</v>
      </c>
      <c r="C263" t="s">
        <v>522</v>
      </c>
    </row>
    <row r="264" spans="1:3" x14ac:dyDescent="0.25">
      <c r="A264" t="s">
        <v>257</v>
      </c>
      <c r="B264" t="s">
        <v>520</v>
      </c>
      <c r="C264" t="s">
        <v>522</v>
      </c>
    </row>
    <row r="265" spans="1:3" x14ac:dyDescent="0.25">
      <c r="A265" t="s">
        <v>258</v>
      </c>
      <c r="B265" t="s">
        <v>520</v>
      </c>
      <c r="C265" t="s">
        <v>522</v>
      </c>
    </row>
    <row r="266" spans="1:3" x14ac:dyDescent="0.25">
      <c r="A266" t="s">
        <v>259</v>
      </c>
      <c r="B266" t="s">
        <v>520</v>
      </c>
      <c r="C266" t="s">
        <v>522</v>
      </c>
    </row>
    <row r="267" spans="1:3" x14ac:dyDescent="0.25">
      <c r="A267" t="s">
        <v>260</v>
      </c>
      <c r="B267" t="s">
        <v>520</v>
      </c>
      <c r="C267" t="s">
        <v>522</v>
      </c>
    </row>
    <row r="268" spans="1:3" x14ac:dyDescent="0.25">
      <c r="A268" t="s">
        <v>261</v>
      </c>
      <c r="B268" t="s">
        <v>520</v>
      </c>
      <c r="C268" t="s">
        <v>522</v>
      </c>
    </row>
    <row r="269" spans="1:3" x14ac:dyDescent="0.25">
      <c r="A269" t="s">
        <v>262</v>
      </c>
      <c r="B269" t="s">
        <v>520</v>
      </c>
      <c r="C269" t="s">
        <v>522</v>
      </c>
    </row>
    <row r="270" spans="1:3" x14ac:dyDescent="0.25">
      <c r="A270" t="s">
        <v>263</v>
      </c>
      <c r="B270" t="s">
        <v>520</v>
      </c>
      <c r="C270" t="s">
        <v>522</v>
      </c>
    </row>
    <row r="271" spans="1:3" x14ac:dyDescent="0.25">
      <c r="A271" t="s">
        <v>264</v>
      </c>
      <c r="B271" t="s">
        <v>520</v>
      </c>
      <c r="C271" t="s">
        <v>522</v>
      </c>
    </row>
    <row r="272" spans="1:3" x14ac:dyDescent="0.25">
      <c r="A272" t="s">
        <v>265</v>
      </c>
      <c r="B272" t="s">
        <v>520</v>
      </c>
      <c r="C272" t="s">
        <v>522</v>
      </c>
    </row>
    <row r="273" spans="1:3" x14ac:dyDescent="0.25">
      <c r="A273" t="s">
        <v>266</v>
      </c>
      <c r="B273" t="s">
        <v>520</v>
      </c>
      <c r="C273" t="s">
        <v>522</v>
      </c>
    </row>
    <row r="274" spans="1:3" x14ac:dyDescent="0.25">
      <c r="A274" t="s">
        <v>267</v>
      </c>
      <c r="B274" t="s">
        <v>520</v>
      </c>
      <c r="C274" t="s">
        <v>522</v>
      </c>
    </row>
    <row r="275" spans="1:3" x14ac:dyDescent="0.25">
      <c r="A275" t="s">
        <v>712</v>
      </c>
      <c r="B275" t="s">
        <v>520</v>
      </c>
      <c r="C275" t="s">
        <v>522</v>
      </c>
    </row>
    <row r="276" spans="1:3" x14ac:dyDescent="0.25">
      <c r="A276" t="s">
        <v>268</v>
      </c>
      <c r="B276" t="s">
        <v>520</v>
      </c>
      <c r="C276" t="s">
        <v>522</v>
      </c>
    </row>
    <row r="277" spans="1:3" x14ac:dyDescent="0.25">
      <c r="A277" t="s">
        <v>527</v>
      </c>
      <c r="B277" t="s">
        <v>520</v>
      </c>
      <c r="C277" t="s">
        <v>522</v>
      </c>
    </row>
    <row r="278" spans="1:3" x14ac:dyDescent="0.25">
      <c r="A278" t="s">
        <v>269</v>
      </c>
      <c r="B278" t="s">
        <v>520</v>
      </c>
      <c r="C278" t="s">
        <v>522</v>
      </c>
    </row>
    <row r="279" spans="1:3" x14ac:dyDescent="0.25">
      <c r="A279" t="s">
        <v>270</v>
      </c>
      <c r="B279" t="s">
        <v>520</v>
      </c>
      <c r="C279" t="s">
        <v>522</v>
      </c>
    </row>
    <row r="280" spans="1:3" x14ac:dyDescent="0.25">
      <c r="A280" t="s">
        <v>271</v>
      </c>
      <c r="B280" t="s">
        <v>520</v>
      </c>
      <c r="C280" t="s">
        <v>522</v>
      </c>
    </row>
    <row r="281" spans="1:3" x14ac:dyDescent="0.25">
      <c r="A281" t="s">
        <v>272</v>
      </c>
      <c r="B281" t="s">
        <v>520</v>
      </c>
      <c r="C281" t="s">
        <v>522</v>
      </c>
    </row>
    <row r="282" spans="1:3" x14ac:dyDescent="0.25">
      <c r="A282" t="s">
        <v>273</v>
      </c>
      <c r="B282" t="s">
        <v>520</v>
      </c>
      <c r="C282" t="s">
        <v>522</v>
      </c>
    </row>
    <row r="283" spans="1:3" x14ac:dyDescent="0.25">
      <c r="A283" t="s">
        <v>274</v>
      </c>
      <c r="B283" t="s">
        <v>520</v>
      </c>
      <c r="C283" t="s">
        <v>522</v>
      </c>
    </row>
    <row r="284" spans="1:3" x14ac:dyDescent="0.25">
      <c r="A284" t="s">
        <v>275</v>
      </c>
      <c r="B284" t="s">
        <v>520</v>
      </c>
      <c r="C284" t="s">
        <v>522</v>
      </c>
    </row>
    <row r="285" spans="1:3" x14ac:dyDescent="0.25">
      <c r="A285" t="s">
        <v>276</v>
      </c>
      <c r="B285" t="s">
        <v>520</v>
      </c>
      <c r="C285" t="s">
        <v>522</v>
      </c>
    </row>
    <row r="286" spans="1:3" x14ac:dyDescent="0.25">
      <c r="A286" t="s">
        <v>277</v>
      </c>
      <c r="B286" t="s">
        <v>520</v>
      </c>
      <c r="C286" t="s">
        <v>522</v>
      </c>
    </row>
    <row r="287" spans="1:3" x14ac:dyDescent="0.25">
      <c r="A287" t="s">
        <v>278</v>
      </c>
      <c r="B287" t="s">
        <v>520</v>
      </c>
      <c r="C287" t="s">
        <v>522</v>
      </c>
    </row>
    <row r="288" spans="1:3" x14ac:dyDescent="0.25">
      <c r="A288" t="s">
        <v>279</v>
      </c>
      <c r="B288" t="s">
        <v>520</v>
      </c>
      <c r="C288" t="s">
        <v>522</v>
      </c>
    </row>
    <row r="289" spans="1:3" x14ac:dyDescent="0.25">
      <c r="A289" t="s">
        <v>280</v>
      </c>
      <c r="B289" t="s">
        <v>520</v>
      </c>
      <c r="C289" t="s">
        <v>522</v>
      </c>
    </row>
    <row r="290" spans="1:3" x14ac:dyDescent="0.25">
      <c r="A290" t="s">
        <v>281</v>
      </c>
      <c r="B290" t="s">
        <v>520</v>
      </c>
      <c r="C290" t="s">
        <v>522</v>
      </c>
    </row>
    <row r="291" spans="1:3" x14ac:dyDescent="0.25">
      <c r="A291" t="s">
        <v>282</v>
      </c>
      <c r="B291" t="s">
        <v>520</v>
      </c>
      <c r="C291" t="s">
        <v>522</v>
      </c>
    </row>
    <row r="292" spans="1:3" x14ac:dyDescent="0.25">
      <c r="A292" t="s">
        <v>283</v>
      </c>
      <c r="B292" t="s">
        <v>520</v>
      </c>
      <c r="C292" t="s">
        <v>522</v>
      </c>
    </row>
    <row r="293" spans="1:3" x14ac:dyDescent="0.25">
      <c r="A293" t="s">
        <v>284</v>
      </c>
      <c r="B293" t="s">
        <v>520</v>
      </c>
      <c r="C293" t="s">
        <v>522</v>
      </c>
    </row>
    <row r="294" spans="1:3" x14ac:dyDescent="0.25">
      <c r="A294" t="s">
        <v>285</v>
      </c>
      <c r="B294" t="s">
        <v>520</v>
      </c>
      <c r="C294" t="s">
        <v>522</v>
      </c>
    </row>
    <row r="295" spans="1:3" x14ac:dyDescent="0.25">
      <c r="A295" t="s">
        <v>286</v>
      </c>
      <c r="B295" t="s">
        <v>520</v>
      </c>
      <c r="C295" t="s">
        <v>522</v>
      </c>
    </row>
    <row r="296" spans="1:3" x14ac:dyDescent="0.25">
      <c r="A296" t="s">
        <v>287</v>
      </c>
      <c r="B296" t="s">
        <v>520</v>
      </c>
      <c r="C296" t="s">
        <v>522</v>
      </c>
    </row>
    <row r="297" spans="1:3" x14ac:dyDescent="0.25">
      <c r="A297" t="s">
        <v>288</v>
      </c>
      <c r="B297" t="s">
        <v>520</v>
      </c>
      <c r="C297" t="s">
        <v>522</v>
      </c>
    </row>
    <row r="298" spans="1:3" x14ac:dyDescent="0.25">
      <c r="A298" t="s">
        <v>289</v>
      </c>
      <c r="B298" t="s">
        <v>520</v>
      </c>
      <c r="C298" t="s">
        <v>522</v>
      </c>
    </row>
    <row r="299" spans="1:3" x14ac:dyDescent="0.25">
      <c r="A299" t="s">
        <v>290</v>
      </c>
      <c r="B299" t="s">
        <v>520</v>
      </c>
      <c r="C299" t="s">
        <v>522</v>
      </c>
    </row>
    <row r="300" spans="1:3" x14ac:dyDescent="0.25">
      <c r="A300" t="s">
        <v>291</v>
      </c>
      <c r="B300" t="s">
        <v>520</v>
      </c>
      <c r="C300" t="s">
        <v>522</v>
      </c>
    </row>
    <row r="301" spans="1:3" x14ac:dyDescent="0.25">
      <c r="A301" t="s">
        <v>292</v>
      </c>
      <c r="B301" t="s">
        <v>520</v>
      </c>
      <c r="C301" t="s">
        <v>522</v>
      </c>
    </row>
    <row r="302" spans="1:3" x14ac:dyDescent="0.25">
      <c r="A302" t="s">
        <v>293</v>
      </c>
      <c r="B302" t="s">
        <v>520</v>
      </c>
      <c r="C302" t="s">
        <v>522</v>
      </c>
    </row>
    <row r="303" spans="1:3" x14ac:dyDescent="0.25">
      <c r="A303" t="s">
        <v>294</v>
      </c>
      <c r="B303" t="s">
        <v>520</v>
      </c>
      <c r="C303" t="s">
        <v>522</v>
      </c>
    </row>
    <row r="304" spans="1:3" x14ac:dyDescent="0.25">
      <c r="A304" t="s">
        <v>295</v>
      </c>
      <c r="B304" t="s">
        <v>520</v>
      </c>
      <c r="C304" t="s">
        <v>522</v>
      </c>
    </row>
    <row r="305" spans="1:3" x14ac:dyDescent="0.25">
      <c r="A305" t="s">
        <v>528</v>
      </c>
      <c r="B305" t="s">
        <v>520</v>
      </c>
      <c r="C305" t="s">
        <v>522</v>
      </c>
    </row>
    <row r="306" spans="1:3" x14ac:dyDescent="0.25">
      <c r="A306" t="s">
        <v>296</v>
      </c>
      <c r="B306" t="s">
        <v>520</v>
      </c>
      <c r="C306" t="s">
        <v>522</v>
      </c>
    </row>
    <row r="307" spans="1:3" x14ac:dyDescent="0.25">
      <c r="A307" t="s">
        <v>297</v>
      </c>
      <c r="B307" t="s">
        <v>520</v>
      </c>
      <c r="C307" t="s">
        <v>522</v>
      </c>
    </row>
    <row r="308" spans="1:3" x14ac:dyDescent="0.25">
      <c r="A308" t="s">
        <v>298</v>
      </c>
      <c r="B308" t="s">
        <v>520</v>
      </c>
      <c r="C308" t="s">
        <v>522</v>
      </c>
    </row>
    <row r="309" spans="1:3" x14ac:dyDescent="0.25">
      <c r="A309" t="s">
        <v>299</v>
      </c>
      <c r="B309" t="s">
        <v>520</v>
      </c>
      <c r="C309" t="s">
        <v>522</v>
      </c>
    </row>
    <row r="310" spans="1:3" x14ac:dyDescent="0.25">
      <c r="A310" t="s">
        <v>300</v>
      </c>
      <c r="B310" t="s">
        <v>520</v>
      </c>
      <c r="C310" t="s">
        <v>522</v>
      </c>
    </row>
    <row r="311" spans="1:3" x14ac:dyDescent="0.25">
      <c r="A311" t="s">
        <v>301</v>
      </c>
      <c r="B311" t="s">
        <v>520</v>
      </c>
      <c r="C311" t="s">
        <v>522</v>
      </c>
    </row>
    <row r="312" spans="1:3" x14ac:dyDescent="0.25">
      <c r="A312" t="s">
        <v>302</v>
      </c>
      <c r="B312" t="s">
        <v>520</v>
      </c>
      <c r="C312" t="s">
        <v>522</v>
      </c>
    </row>
    <row r="313" spans="1:3" x14ac:dyDescent="0.25">
      <c r="A313" t="s">
        <v>303</v>
      </c>
      <c r="B313" t="s">
        <v>520</v>
      </c>
      <c r="C313" t="s">
        <v>522</v>
      </c>
    </row>
    <row r="314" spans="1:3" x14ac:dyDescent="0.25">
      <c r="A314" t="s">
        <v>304</v>
      </c>
      <c r="B314" t="s">
        <v>520</v>
      </c>
      <c r="C314" t="s">
        <v>522</v>
      </c>
    </row>
    <row r="315" spans="1:3" x14ac:dyDescent="0.25">
      <c r="A315" t="s">
        <v>305</v>
      </c>
      <c r="B315" t="s">
        <v>520</v>
      </c>
      <c r="C315" t="s">
        <v>522</v>
      </c>
    </row>
    <row r="316" spans="1:3" x14ac:dyDescent="0.25">
      <c r="A316" t="s">
        <v>306</v>
      </c>
      <c r="B316" t="s">
        <v>520</v>
      </c>
      <c r="C316" t="s">
        <v>522</v>
      </c>
    </row>
    <row r="317" spans="1:3" x14ac:dyDescent="0.25">
      <c r="A317" t="s">
        <v>307</v>
      </c>
      <c r="B317" t="s">
        <v>520</v>
      </c>
      <c r="C317" t="s">
        <v>522</v>
      </c>
    </row>
    <row r="318" spans="1:3" x14ac:dyDescent="0.25">
      <c r="A318" t="s">
        <v>308</v>
      </c>
      <c r="B318" t="s">
        <v>520</v>
      </c>
      <c r="C318" t="s">
        <v>522</v>
      </c>
    </row>
    <row r="319" spans="1:3" x14ac:dyDescent="0.25">
      <c r="A319" t="s">
        <v>309</v>
      </c>
      <c r="B319" t="s">
        <v>520</v>
      </c>
      <c r="C319" t="s">
        <v>522</v>
      </c>
    </row>
    <row r="320" spans="1:3" x14ac:dyDescent="0.25">
      <c r="A320" t="s">
        <v>310</v>
      </c>
      <c r="B320" t="s">
        <v>520</v>
      </c>
      <c r="C320" t="s">
        <v>522</v>
      </c>
    </row>
    <row r="321" spans="1:3" x14ac:dyDescent="0.25">
      <c r="A321" t="s">
        <v>311</v>
      </c>
      <c r="B321" t="s">
        <v>520</v>
      </c>
      <c r="C321" t="s">
        <v>522</v>
      </c>
    </row>
    <row r="322" spans="1:3" x14ac:dyDescent="0.25">
      <c r="A322" t="s">
        <v>312</v>
      </c>
      <c r="B322" t="s">
        <v>520</v>
      </c>
      <c r="C322" t="s">
        <v>522</v>
      </c>
    </row>
    <row r="323" spans="1:3" x14ac:dyDescent="0.25">
      <c r="A323" t="s">
        <v>313</v>
      </c>
      <c r="B323" t="s">
        <v>520</v>
      </c>
      <c r="C323" t="s">
        <v>522</v>
      </c>
    </row>
    <row r="324" spans="1:3" x14ac:dyDescent="0.25">
      <c r="A324" t="s">
        <v>314</v>
      </c>
      <c r="B324" t="s">
        <v>520</v>
      </c>
      <c r="C324" t="s">
        <v>522</v>
      </c>
    </row>
    <row r="325" spans="1:3" x14ac:dyDescent="0.25">
      <c r="A325" t="s">
        <v>315</v>
      </c>
      <c r="B325" t="s">
        <v>520</v>
      </c>
      <c r="C325" t="s">
        <v>522</v>
      </c>
    </row>
    <row r="326" spans="1:3" x14ac:dyDescent="0.25">
      <c r="A326" t="s">
        <v>316</v>
      </c>
      <c r="B326" t="s">
        <v>520</v>
      </c>
      <c r="C326" t="s">
        <v>522</v>
      </c>
    </row>
    <row r="327" spans="1:3" x14ac:dyDescent="0.25">
      <c r="A327" t="s">
        <v>317</v>
      </c>
      <c r="B327" t="s">
        <v>520</v>
      </c>
      <c r="C327" t="s">
        <v>522</v>
      </c>
    </row>
    <row r="328" spans="1:3" x14ac:dyDescent="0.25">
      <c r="A328" t="s">
        <v>529</v>
      </c>
      <c r="B328" t="s">
        <v>520</v>
      </c>
      <c r="C328" t="s">
        <v>522</v>
      </c>
    </row>
    <row r="329" spans="1:3" x14ac:dyDescent="0.25">
      <c r="A329" t="s">
        <v>318</v>
      </c>
      <c r="B329" t="s">
        <v>520</v>
      </c>
      <c r="C329" t="s">
        <v>522</v>
      </c>
    </row>
    <row r="330" spans="1:3" x14ac:dyDescent="0.25">
      <c r="A330" t="s">
        <v>319</v>
      </c>
      <c r="B330" t="s">
        <v>520</v>
      </c>
      <c r="C330" t="s">
        <v>522</v>
      </c>
    </row>
    <row r="331" spans="1:3" x14ac:dyDescent="0.25">
      <c r="A331" t="s">
        <v>320</v>
      </c>
      <c r="B331" t="s">
        <v>520</v>
      </c>
      <c r="C331" t="s">
        <v>522</v>
      </c>
    </row>
    <row r="332" spans="1:3" x14ac:dyDescent="0.25">
      <c r="A332" t="s">
        <v>321</v>
      </c>
      <c r="B332" t="s">
        <v>520</v>
      </c>
      <c r="C332" t="s">
        <v>522</v>
      </c>
    </row>
    <row r="333" spans="1:3" x14ac:dyDescent="0.25">
      <c r="A333" t="s">
        <v>322</v>
      </c>
      <c r="B333" t="s">
        <v>520</v>
      </c>
      <c r="C333" t="s">
        <v>522</v>
      </c>
    </row>
    <row r="334" spans="1:3" x14ac:dyDescent="0.25">
      <c r="A334" t="s">
        <v>323</v>
      </c>
      <c r="B334" t="s">
        <v>520</v>
      </c>
      <c r="C334" t="s">
        <v>522</v>
      </c>
    </row>
    <row r="335" spans="1:3" x14ac:dyDescent="0.25">
      <c r="A335" t="s">
        <v>324</v>
      </c>
      <c r="B335" t="s">
        <v>520</v>
      </c>
      <c r="C335" t="s">
        <v>522</v>
      </c>
    </row>
    <row r="336" spans="1:3" x14ac:dyDescent="0.25">
      <c r="A336" t="s">
        <v>325</v>
      </c>
      <c r="B336" t="s">
        <v>520</v>
      </c>
      <c r="C336" t="s">
        <v>522</v>
      </c>
    </row>
    <row r="337" spans="1:3" x14ac:dyDescent="0.25">
      <c r="A337" t="s">
        <v>326</v>
      </c>
      <c r="B337" t="s">
        <v>520</v>
      </c>
      <c r="C337" t="s">
        <v>522</v>
      </c>
    </row>
    <row r="338" spans="1:3" x14ac:dyDescent="0.25">
      <c r="A338" t="s">
        <v>327</v>
      </c>
      <c r="B338" t="s">
        <v>520</v>
      </c>
      <c r="C338" t="s">
        <v>522</v>
      </c>
    </row>
    <row r="339" spans="1:3" x14ac:dyDescent="0.25">
      <c r="A339" t="s">
        <v>328</v>
      </c>
      <c r="B339" t="s">
        <v>520</v>
      </c>
      <c r="C339" t="s">
        <v>522</v>
      </c>
    </row>
    <row r="340" spans="1:3" x14ac:dyDescent="0.25">
      <c r="A340" t="s">
        <v>329</v>
      </c>
      <c r="B340" t="s">
        <v>520</v>
      </c>
      <c r="C340" t="s">
        <v>522</v>
      </c>
    </row>
    <row r="341" spans="1:3" x14ac:dyDescent="0.25">
      <c r="A341" t="s">
        <v>330</v>
      </c>
      <c r="B341" t="s">
        <v>520</v>
      </c>
      <c r="C341" t="s">
        <v>522</v>
      </c>
    </row>
    <row r="342" spans="1:3" x14ac:dyDescent="0.25">
      <c r="A342" t="s">
        <v>331</v>
      </c>
      <c r="B342" t="s">
        <v>520</v>
      </c>
      <c r="C342" t="s">
        <v>522</v>
      </c>
    </row>
    <row r="343" spans="1:3" x14ac:dyDescent="0.25">
      <c r="A343" t="s">
        <v>332</v>
      </c>
      <c r="B343" t="s">
        <v>520</v>
      </c>
      <c r="C343" t="s">
        <v>522</v>
      </c>
    </row>
    <row r="344" spans="1:3" x14ac:dyDescent="0.25">
      <c r="A344" t="s">
        <v>333</v>
      </c>
      <c r="B344" t="s">
        <v>520</v>
      </c>
      <c r="C344" t="s">
        <v>522</v>
      </c>
    </row>
    <row r="345" spans="1:3" x14ac:dyDescent="0.25">
      <c r="A345" t="s">
        <v>334</v>
      </c>
      <c r="B345" t="s">
        <v>520</v>
      </c>
      <c r="C345" t="s">
        <v>522</v>
      </c>
    </row>
    <row r="346" spans="1:3" x14ac:dyDescent="0.25">
      <c r="A346" t="s">
        <v>335</v>
      </c>
      <c r="B346" t="s">
        <v>520</v>
      </c>
      <c r="C346" t="s">
        <v>522</v>
      </c>
    </row>
    <row r="347" spans="1:3" x14ac:dyDescent="0.25">
      <c r="A347" t="s">
        <v>530</v>
      </c>
      <c r="B347" t="s">
        <v>520</v>
      </c>
      <c r="C347" t="s">
        <v>522</v>
      </c>
    </row>
    <row r="348" spans="1:3" x14ac:dyDescent="0.25">
      <c r="A348" t="s">
        <v>531</v>
      </c>
      <c r="B348" t="s">
        <v>520</v>
      </c>
      <c r="C348" t="s">
        <v>522</v>
      </c>
    </row>
    <row r="349" spans="1:3" x14ac:dyDescent="0.25">
      <c r="A349" t="s">
        <v>336</v>
      </c>
      <c r="B349" t="s">
        <v>520</v>
      </c>
      <c r="C349" t="s">
        <v>522</v>
      </c>
    </row>
    <row r="350" spans="1:3" x14ac:dyDescent="0.25">
      <c r="A350" t="s">
        <v>532</v>
      </c>
      <c r="B350" t="s">
        <v>520</v>
      </c>
      <c r="C350" t="s">
        <v>522</v>
      </c>
    </row>
    <row r="351" spans="1:3" x14ac:dyDescent="0.25">
      <c r="A351" t="s">
        <v>533</v>
      </c>
      <c r="B351" t="s">
        <v>520</v>
      </c>
      <c r="C351" t="s">
        <v>522</v>
      </c>
    </row>
    <row r="352" spans="1:3" x14ac:dyDescent="0.25">
      <c r="A352" t="s">
        <v>534</v>
      </c>
      <c r="B352" t="s">
        <v>520</v>
      </c>
      <c r="C352" t="s">
        <v>522</v>
      </c>
    </row>
    <row r="353" spans="1:3" x14ac:dyDescent="0.25">
      <c r="A353" t="s">
        <v>535</v>
      </c>
      <c r="B353" t="s">
        <v>520</v>
      </c>
      <c r="C353" t="s">
        <v>522</v>
      </c>
    </row>
    <row r="354" spans="1:3" x14ac:dyDescent="0.25">
      <c r="A354" t="s">
        <v>536</v>
      </c>
      <c r="B354" t="s">
        <v>520</v>
      </c>
      <c r="C354" t="s">
        <v>522</v>
      </c>
    </row>
    <row r="355" spans="1:3" x14ac:dyDescent="0.25">
      <c r="A355" t="s">
        <v>537</v>
      </c>
      <c r="B355" t="s">
        <v>520</v>
      </c>
      <c r="C355" t="s">
        <v>522</v>
      </c>
    </row>
    <row r="356" spans="1:3" x14ac:dyDescent="0.25">
      <c r="A356" t="s">
        <v>538</v>
      </c>
      <c r="B356" t="s">
        <v>520</v>
      </c>
      <c r="C356" t="s">
        <v>522</v>
      </c>
    </row>
    <row r="357" spans="1:3" x14ac:dyDescent="0.25">
      <c r="A357" t="s">
        <v>539</v>
      </c>
      <c r="B357" t="s">
        <v>520</v>
      </c>
      <c r="C357" t="s">
        <v>522</v>
      </c>
    </row>
    <row r="358" spans="1:3" x14ac:dyDescent="0.25">
      <c r="A358" t="s">
        <v>540</v>
      </c>
      <c r="B358" t="s">
        <v>520</v>
      </c>
      <c r="C358" t="s">
        <v>522</v>
      </c>
    </row>
    <row r="359" spans="1:3" x14ac:dyDescent="0.25">
      <c r="A359" t="s">
        <v>541</v>
      </c>
      <c r="B359" t="s">
        <v>520</v>
      </c>
      <c r="C359" t="s">
        <v>522</v>
      </c>
    </row>
    <row r="360" spans="1:3" x14ac:dyDescent="0.25">
      <c r="A360" t="s">
        <v>542</v>
      </c>
      <c r="B360" t="s">
        <v>520</v>
      </c>
      <c r="C360" t="s">
        <v>522</v>
      </c>
    </row>
    <row r="361" spans="1:3" x14ac:dyDescent="0.25">
      <c r="A361" t="s">
        <v>543</v>
      </c>
      <c r="B361" t="s">
        <v>520</v>
      </c>
      <c r="C361" t="s">
        <v>522</v>
      </c>
    </row>
    <row r="362" spans="1:3" x14ac:dyDescent="0.25">
      <c r="A362" t="s">
        <v>544</v>
      </c>
      <c r="B362" t="s">
        <v>520</v>
      </c>
      <c r="C362" t="s">
        <v>522</v>
      </c>
    </row>
    <row r="363" spans="1:3" x14ac:dyDescent="0.25">
      <c r="A363" t="s">
        <v>545</v>
      </c>
      <c r="B363" t="s">
        <v>520</v>
      </c>
      <c r="C363" t="s">
        <v>522</v>
      </c>
    </row>
    <row r="364" spans="1:3" x14ac:dyDescent="0.25">
      <c r="A364" t="s">
        <v>546</v>
      </c>
      <c r="B364" t="s">
        <v>520</v>
      </c>
      <c r="C364" t="s">
        <v>522</v>
      </c>
    </row>
    <row r="365" spans="1:3" x14ac:dyDescent="0.25">
      <c r="A365" t="s">
        <v>547</v>
      </c>
      <c r="B365" t="s">
        <v>520</v>
      </c>
      <c r="C365" t="s">
        <v>522</v>
      </c>
    </row>
    <row r="366" spans="1:3" x14ac:dyDescent="0.25">
      <c r="A366" t="s">
        <v>548</v>
      </c>
      <c r="B366" t="s">
        <v>520</v>
      </c>
      <c r="C366" t="s">
        <v>522</v>
      </c>
    </row>
    <row r="367" spans="1:3" x14ac:dyDescent="0.25">
      <c r="A367" t="s">
        <v>549</v>
      </c>
      <c r="B367" t="s">
        <v>520</v>
      </c>
      <c r="C367" t="s">
        <v>522</v>
      </c>
    </row>
    <row r="368" spans="1:3" x14ac:dyDescent="0.25">
      <c r="A368" t="s">
        <v>550</v>
      </c>
      <c r="B368" t="s">
        <v>520</v>
      </c>
      <c r="C368" t="s">
        <v>522</v>
      </c>
    </row>
    <row r="369" spans="1:3" x14ac:dyDescent="0.25">
      <c r="A369" t="s">
        <v>551</v>
      </c>
      <c r="B369" t="s">
        <v>520</v>
      </c>
      <c r="C369" t="s">
        <v>522</v>
      </c>
    </row>
    <row r="370" spans="1:3" x14ac:dyDescent="0.25">
      <c r="A370" t="s">
        <v>552</v>
      </c>
      <c r="B370" t="s">
        <v>520</v>
      </c>
      <c r="C370" t="s">
        <v>522</v>
      </c>
    </row>
    <row r="371" spans="1:3" x14ac:dyDescent="0.25">
      <c r="A371" t="s">
        <v>553</v>
      </c>
      <c r="B371" t="s">
        <v>520</v>
      </c>
      <c r="C371" t="s">
        <v>522</v>
      </c>
    </row>
    <row r="372" spans="1:3" x14ac:dyDescent="0.25">
      <c r="A372" t="s">
        <v>554</v>
      </c>
      <c r="B372" t="s">
        <v>520</v>
      </c>
      <c r="C372" t="s">
        <v>522</v>
      </c>
    </row>
    <row r="373" spans="1:3" x14ac:dyDescent="0.25">
      <c r="A373" t="s">
        <v>555</v>
      </c>
      <c r="B373" t="s">
        <v>520</v>
      </c>
      <c r="C373" t="s">
        <v>522</v>
      </c>
    </row>
    <row r="374" spans="1:3" x14ac:dyDescent="0.25">
      <c r="A374" t="s">
        <v>556</v>
      </c>
      <c r="B374" t="s">
        <v>520</v>
      </c>
      <c r="C374" t="s">
        <v>522</v>
      </c>
    </row>
    <row r="375" spans="1:3" x14ac:dyDescent="0.25">
      <c r="A375" t="s">
        <v>557</v>
      </c>
      <c r="B375" t="s">
        <v>520</v>
      </c>
      <c r="C375" t="s">
        <v>522</v>
      </c>
    </row>
    <row r="376" spans="1:3" x14ac:dyDescent="0.25">
      <c r="A376" t="s">
        <v>558</v>
      </c>
      <c r="B376" t="s">
        <v>520</v>
      </c>
      <c r="C376" t="s">
        <v>522</v>
      </c>
    </row>
    <row r="377" spans="1:3" x14ac:dyDescent="0.25">
      <c r="A377" t="s">
        <v>559</v>
      </c>
      <c r="B377" t="s">
        <v>520</v>
      </c>
      <c r="C377" t="s">
        <v>522</v>
      </c>
    </row>
    <row r="378" spans="1:3" x14ac:dyDescent="0.25">
      <c r="A378" t="s">
        <v>560</v>
      </c>
      <c r="B378" t="s">
        <v>520</v>
      </c>
      <c r="C378" t="s">
        <v>522</v>
      </c>
    </row>
    <row r="379" spans="1:3" x14ac:dyDescent="0.25">
      <c r="A379" t="s">
        <v>561</v>
      </c>
      <c r="B379" t="s">
        <v>520</v>
      </c>
      <c r="C379" t="s">
        <v>522</v>
      </c>
    </row>
    <row r="380" spans="1:3" x14ac:dyDescent="0.25">
      <c r="A380" t="s">
        <v>562</v>
      </c>
      <c r="B380" t="s">
        <v>520</v>
      </c>
      <c r="C380" t="s">
        <v>522</v>
      </c>
    </row>
    <row r="381" spans="1:3" x14ac:dyDescent="0.25">
      <c r="A381" t="s">
        <v>563</v>
      </c>
      <c r="B381" t="s">
        <v>520</v>
      </c>
      <c r="C381" t="s">
        <v>522</v>
      </c>
    </row>
    <row r="382" spans="1:3" x14ac:dyDescent="0.25">
      <c r="A382" t="s">
        <v>564</v>
      </c>
      <c r="B382" t="s">
        <v>520</v>
      </c>
      <c r="C382" t="s">
        <v>522</v>
      </c>
    </row>
    <row r="383" spans="1:3" x14ac:dyDescent="0.25">
      <c r="A383" t="s">
        <v>565</v>
      </c>
      <c r="B383" t="s">
        <v>520</v>
      </c>
      <c r="C383" t="s">
        <v>522</v>
      </c>
    </row>
    <row r="384" spans="1:3" x14ac:dyDescent="0.25">
      <c r="A384" t="s">
        <v>713</v>
      </c>
      <c r="B384" t="s">
        <v>520</v>
      </c>
      <c r="C384" t="s">
        <v>522</v>
      </c>
    </row>
    <row r="385" spans="1:3" x14ac:dyDescent="0.25">
      <c r="A385" t="s">
        <v>337</v>
      </c>
      <c r="B385" t="s">
        <v>520</v>
      </c>
      <c r="C385" t="s">
        <v>522</v>
      </c>
    </row>
    <row r="386" spans="1:3" x14ac:dyDescent="0.25">
      <c r="A386" t="s">
        <v>566</v>
      </c>
      <c r="B386" t="s">
        <v>520</v>
      </c>
      <c r="C386" t="s">
        <v>522</v>
      </c>
    </row>
    <row r="387" spans="1:3" x14ac:dyDescent="0.25">
      <c r="A387" t="s">
        <v>338</v>
      </c>
      <c r="B387" t="s">
        <v>520</v>
      </c>
      <c r="C387" t="s">
        <v>522</v>
      </c>
    </row>
    <row r="388" spans="1:3" x14ac:dyDescent="0.25">
      <c r="A388" t="s">
        <v>714</v>
      </c>
      <c r="B388" t="s">
        <v>520</v>
      </c>
      <c r="C388" t="s">
        <v>522</v>
      </c>
    </row>
    <row r="389" spans="1:3" x14ac:dyDescent="0.25">
      <c r="A389" t="s">
        <v>715</v>
      </c>
      <c r="B389" t="s">
        <v>520</v>
      </c>
      <c r="C389" t="s">
        <v>522</v>
      </c>
    </row>
    <row r="390" spans="1:3" x14ac:dyDescent="0.25">
      <c r="A390" t="s">
        <v>716</v>
      </c>
      <c r="B390" t="s">
        <v>520</v>
      </c>
      <c r="C390" t="s">
        <v>522</v>
      </c>
    </row>
    <row r="391" spans="1:3" x14ac:dyDescent="0.25">
      <c r="A391" t="s">
        <v>717</v>
      </c>
      <c r="B391" t="s">
        <v>520</v>
      </c>
      <c r="C391" t="s">
        <v>522</v>
      </c>
    </row>
    <row r="392" spans="1:3" x14ac:dyDescent="0.25">
      <c r="A392" t="s">
        <v>718</v>
      </c>
      <c r="B392" t="s">
        <v>520</v>
      </c>
      <c r="C392" t="s">
        <v>522</v>
      </c>
    </row>
    <row r="393" spans="1:3" x14ac:dyDescent="0.25">
      <c r="A393" t="s">
        <v>719</v>
      </c>
      <c r="B393" t="s">
        <v>520</v>
      </c>
      <c r="C393" t="s">
        <v>522</v>
      </c>
    </row>
    <row r="394" spans="1:3" x14ac:dyDescent="0.25">
      <c r="A394" t="s">
        <v>720</v>
      </c>
      <c r="B394" t="s">
        <v>520</v>
      </c>
      <c r="C394" t="s">
        <v>522</v>
      </c>
    </row>
    <row r="395" spans="1:3" x14ac:dyDescent="0.25">
      <c r="A395" t="s">
        <v>721</v>
      </c>
      <c r="B395" t="s">
        <v>520</v>
      </c>
      <c r="C395" t="s">
        <v>522</v>
      </c>
    </row>
    <row r="396" spans="1:3" x14ac:dyDescent="0.25">
      <c r="A396" t="s">
        <v>722</v>
      </c>
      <c r="B396" t="s">
        <v>520</v>
      </c>
      <c r="C396" t="s">
        <v>522</v>
      </c>
    </row>
    <row r="397" spans="1:3" x14ac:dyDescent="0.25">
      <c r="A397" t="s">
        <v>723</v>
      </c>
      <c r="B397" t="s">
        <v>520</v>
      </c>
      <c r="C397" t="s">
        <v>522</v>
      </c>
    </row>
    <row r="398" spans="1:3" x14ac:dyDescent="0.25">
      <c r="A398" t="s">
        <v>724</v>
      </c>
      <c r="B398" t="s">
        <v>520</v>
      </c>
      <c r="C398" t="s">
        <v>522</v>
      </c>
    </row>
    <row r="399" spans="1:3" x14ac:dyDescent="0.25">
      <c r="A399" t="s">
        <v>725</v>
      </c>
      <c r="B399" t="s">
        <v>520</v>
      </c>
      <c r="C399" t="s">
        <v>522</v>
      </c>
    </row>
    <row r="400" spans="1:3" x14ac:dyDescent="0.25">
      <c r="A400" t="s">
        <v>726</v>
      </c>
      <c r="B400" t="s">
        <v>520</v>
      </c>
      <c r="C400" t="s">
        <v>522</v>
      </c>
    </row>
    <row r="401" spans="1:3" x14ac:dyDescent="0.25">
      <c r="A401" t="s">
        <v>727</v>
      </c>
      <c r="B401" t="s">
        <v>520</v>
      </c>
      <c r="C401" t="s">
        <v>522</v>
      </c>
    </row>
    <row r="402" spans="1:3" x14ac:dyDescent="0.25">
      <c r="A402" t="s">
        <v>728</v>
      </c>
      <c r="B402" t="s">
        <v>520</v>
      </c>
      <c r="C402" t="s">
        <v>522</v>
      </c>
    </row>
    <row r="403" spans="1:3" x14ac:dyDescent="0.25">
      <c r="A403" t="s">
        <v>729</v>
      </c>
      <c r="B403" t="s">
        <v>520</v>
      </c>
      <c r="C403" t="s">
        <v>522</v>
      </c>
    </row>
    <row r="404" spans="1:3" x14ac:dyDescent="0.25">
      <c r="A404" t="s">
        <v>730</v>
      </c>
      <c r="B404" t="s">
        <v>520</v>
      </c>
      <c r="C404" t="s">
        <v>522</v>
      </c>
    </row>
    <row r="405" spans="1:3" x14ac:dyDescent="0.25">
      <c r="A405" t="s">
        <v>731</v>
      </c>
      <c r="B405" t="s">
        <v>520</v>
      </c>
      <c r="C405" t="s">
        <v>522</v>
      </c>
    </row>
    <row r="406" spans="1:3" x14ac:dyDescent="0.25">
      <c r="A406" t="s">
        <v>732</v>
      </c>
      <c r="B406" t="s">
        <v>520</v>
      </c>
      <c r="C406" t="s">
        <v>522</v>
      </c>
    </row>
    <row r="407" spans="1:3" x14ac:dyDescent="0.25">
      <c r="A407" t="s">
        <v>733</v>
      </c>
      <c r="B407" t="s">
        <v>520</v>
      </c>
      <c r="C407" t="s">
        <v>522</v>
      </c>
    </row>
    <row r="408" spans="1:3" x14ac:dyDescent="0.25">
      <c r="A408" t="s">
        <v>734</v>
      </c>
      <c r="B408" t="s">
        <v>520</v>
      </c>
      <c r="C408" t="s">
        <v>522</v>
      </c>
    </row>
    <row r="409" spans="1:3" x14ac:dyDescent="0.25">
      <c r="A409" t="s">
        <v>735</v>
      </c>
      <c r="B409" t="s">
        <v>520</v>
      </c>
      <c r="C409" t="s">
        <v>522</v>
      </c>
    </row>
    <row r="410" spans="1:3" x14ac:dyDescent="0.25">
      <c r="A410" t="s">
        <v>736</v>
      </c>
      <c r="B410" t="s">
        <v>520</v>
      </c>
      <c r="C410" t="s">
        <v>522</v>
      </c>
    </row>
    <row r="411" spans="1:3" x14ac:dyDescent="0.25">
      <c r="A411" t="s">
        <v>737</v>
      </c>
      <c r="B411" t="s">
        <v>520</v>
      </c>
      <c r="C411" t="s">
        <v>522</v>
      </c>
    </row>
    <row r="412" spans="1:3" x14ac:dyDescent="0.25">
      <c r="A412" t="s">
        <v>738</v>
      </c>
      <c r="B412" t="s">
        <v>520</v>
      </c>
      <c r="C412" t="s">
        <v>522</v>
      </c>
    </row>
    <row r="413" spans="1:3" x14ac:dyDescent="0.25">
      <c r="A413" t="s">
        <v>739</v>
      </c>
      <c r="B413" t="s">
        <v>520</v>
      </c>
      <c r="C413" t="s">
        <v>522</v>
      </c>
    </row>
    <row r="414" spans="1:3" x14ac:dyDescent="0.25">
      <c r="A414" t="s">
        <v>740</v>
      </c>
      <c r="B414" t="s">
        <v>520</v>
      </c>
      <c r="C414" t="s">
        <v>522</v>
      </c>
    </row>
    <row r="415" spans="1:3" x14ac:dyDescent="0.25">
      <c r="A415" t="s">
        <v>741</v>
      </c>
      <c r="B415" t="s">
        <v>520</v>
      </c>
      <c r="C415" t="s">
        <v>522</v>
      </c>
    </row>
    <row r="416" spans="1:3" x14ac:dyDescent="0.25">
      <c r="A416" t="s">
        <v>742</v>
      </c>
      <c r="B416" t="s">
        <v>520</v>
      </c>
      <c r="C416" t="s">
        <v>522</v>
      </c>
    </row>
    <row r="417" spans="1:3" x14ac:dyDescent="0.25">
      <c r="A417" t="s">
        <v>743</v>
      </c>
      <c r="B417" t="s">
        <v>520</v>
      </c>
      <c r="C417" t="s">
        <v>522</v>
      </c>
    </row>
    <row r="418" spans="1:3" x14ac:dyDescent="0.25">
      <c r="A418" t="s">
        <v>744</v>
      </c>
      <c r="B418" t="s">
        <v>520</v>
      </c>
      <c r="C418" t="s">
        <v>522</v>
      </c>
    </row>
    <row r="419" spans="1:3" x14ac:dyDescent="0.25">
      <c r="A419" t="s">
        <v>745</v>
      </c>
      <c r="B419" t="s">
        <v>520</v>
      </c>
      <c r="C419" t="s">
        <v>522</v>
      </c>
    </row>
    <row r="420" spans="1:3" x14ac:dyDescent="0.25">
      <c r="A420" t="s">
        <v>746</v>
      </c>
      <c r="B420" t="s">
        <v>520</v>
      </c>
      <c r="C420" t="s">
        <v>522</v>
      </c>
    </row>
    <row r="421" spans="1:3" x14ac:dyDescent="0.25">
      <c r="A421" t="s">
        <v>747</v>
      </c>
      <c r="B421" t="s">
        <v>520</v>
      </c>
      <c r="C421" t="s">
        <v>522</v>
      </c>
    </row>
    <row r="422" spans="1:3" x14ac:dyDescent="0.25">
      <c r="A422" t="s">
        <v>748</v>
      </c>
      <c r="B422" t="s">
        <v>520</v>
      </c>
      <c r="C422" t="s">
        <v>522</v>
      </c>
    </row>
    <row r="423" spans="1:3" x14ac:dyDescent="0.25">
      <c r="A423" t="s">
        <v>749</v>
      </c>
      <c r="B423" t="s">
        <v>520</v>
      </c>
      <c r="C423" t="s">
        <v>522</v>
      </c>
    </row>
    <row r="424" spans="1:3" x14ac:dyDescent="0.25">
      <c r="A424" t="s">
        <v>750</v>
      </c>
      <c r="B424" t="s">
        <v>520</v>
      </c>
      <c r="C424" t="s">
        <v>522</v>
      </c>
    </row>
    <row r="425" spans="1:3" x14ac:dyDescent="0.25">
      <c r="A425" t="s">
        <v>751</v>
      </c>
      <c r="B425" t="s">
        <v>520</v>
      </c>
      <c r="C425" t="s">
        <v>522</v>
      </c>
    </row>
    <row r="426" spans="1:3" x14ac:dyDescent="0.25">
      <c r="A426" t="s">
        <v>752</v>
      </c>
      <c r="B426" t="s">
        <v>520</v>
      </c>
      <c r="C426" t="s">
        <v>522</v>
      </c>
    </row>
    <row r="427" spans="1:3" x14ac:dyDescent="0.25">
      <c r="A427" t="s">
        <v>753</v>
      </c>
      <c r="B427" t="s">
        <v>520</v>
      </c>
      <c r="C427" t="s">
        <v>522</v>
      </c>
    </row>
    <row r="428" spans="1:3" x14ac:dyDescent="0.25">
      <c r="A428" t="s">
        <v>754</v>
      </c>
      <c r="B428" t="s">
        <v>520</v>
      </c>
      <c r="C428" t="s">
        <v>522</v>
      </c>
    </row>
    <row r="429" spans="1:3" x14ac:dyDescent="0.25">
      <c r="A429" t="s">
        <v>755</v>
      </c>
      <c r="B429" t="s">
        <v>520</v>
      </c>
      <c r="C429" t="s">
        <v>522</v>
      </c>
    </row>
    <row r="430" spans="1:3" x14ac:dyDescent="0.25">
      <c r="A430" t="s">
        <v>756</v>
      </c>
      <c r="B430" t="s">
        <v>520</v>
      </c>
      <c r="C430" t="s">
        <v>522</v>
      </c>
    </row>
    <row r="431" spans="1:3" x14ac:dyDescent="0.25">
      <c r="A431" t="s">
        <v>757</v>
      </c>
      <c r="B431" t="s">
        <v>520</v>
      </c>
      <c r="C431" t="s">
        <v>522</v>
      </c>
    </row>
    <row r="432" spans="1:3" x14ac:dyDescent="0.25">
      <c r="A432" t="s">
        <v>758</v>
      </c>
      <c r="B432" t="s">
        <v>520</v>
      </c>
      <c r="C432" t="s">
        <v>522</v>
      </c>
    </row>
    <row r="433" spans="1:3" x14ac:dyDescent="0.25">
      <c r="A433" t="s">
        <v>759</v>
      </c>
      <c r="B433" t="s">
        <v>520</v>
      </c>
      <c r="C433" t="s">
        <v>522</v>
      </c>
    </row>
    <row r="434" spans="1:3" x14ac:dyDescent="0.25">
      <c r="A434" t="s">
        <v>760</v>
      </c>
      <c r="B434" t="s">
        <v>520</v>
      </c>
      <c r="C434" t="s">
        <v>522</v>
      </c>
    </row>
    <row r="435" spans="1:3" x14ac:dyDescent="0.25">
      <c r="A435" t="s">
        <v>761</v>
      </c>
      <c r="B435" t="s">
        <v>520</v>
      </c>
      <c r="C435" t="s">
        <v>522</v>
      </c>
    </row>
    <row r="436" spans="1:3" x14ac:dyDescent="0.25">
      <c r="A436" t="s">
        <v>762</v>
      </c>
      <c r="B436" t="s">
        <v>520</v>
      </c>
      <c r="C436" t="s">
        <v>522</v>
      </c>
    </row>
    <row r="437" spans="1:3" x14ac:dyDescent="0.25">
      <c r="A437" t="s">
        <v>763</v>
      </c>
      <c r="B437" t="s">
        <v>520</v>
      </c>
      <c r="C437" t="s">
        <v>522</v>
      </c>
    </row>
    <row r="438" spans="1:3" x14ac:dyDescent="0.25">
      <c r="A438" t="s">
        <v>764</v>
      </c>
      <c r="B438" t="s">
        <v>520</v>
      </c>
      <c r="C438" t="s">
        <v>522</v>
      </c>
    </row>
    <row r="439" spans="1:3" x14ac:dyDescent="0.25">
      <c r="A439" t="s">
        <v>765</v>
      </c>
      <c r="B439" t="s">
        <v>520</v>
      </c>
      <c r="C439" t="s">
        <v>522</v>
      </c>
    </row>
    <row r="440" spans="1:3" x14ac:dyDescent="0.25">
      <c r="A440" t="s">
        <v>766</v>
      </c>
      <c r="B440" t="s">
        <v>520</v>
      </c>
      <c r="C440" t="s">
        <v>522</v>
      </c>
    </row>
    <row r="441" spans="1:3" x14ac:dyDescent="0.25">
      <c r="A441" t="s">
        <v>767</v>
      </c>
      <c r="B441" t="s">
        <v>520</v>
      </c>
      <c r="C441" t="s">
        <v>522</v>
      </c>
    </row>
    <row r="442" spans="1:3" x14ac:dyDescent="0.25">
      <c r="A442" t="s">
        <v>768</v>
      </c>
      <c r="B442" t="s">
        <v>520</v>
      </c>
      <c r="C442" t="s">
        <v>522</v>
      </c>
    </row>
    <row r="443" spans="1:3" x14ac:dyDescent="0.25">
      <c r="A443" t="s">
        <v>769</v>
      </c>
      <c r="B443" t="s">
        <v>520</v>
      </c>
      <c r="C443" t="s">
        <v>522</v>
      </c>
    </row>
    <row r="444" spans="1:3" x14ac:dyDescent="0.25">
      <c r="A444" t="s">
        <v>770</v>
      </c>
      <c r="B444" t="s">
        <v>520</v>
      </c>
      <c r="C444" t="s">
        <v>522</v>
      </c>
    </row>
    <row r="445" spans="1:3" x14ac:dyDescent="0.25">
      <c r="A445" t="s">
        <v>771</v>
      </c>
      <c r="B445" t="s">
        <v>520</v>
      </c>
      <c r="C445" t="s">
        <v>522</v>
      </c>
    </row>
    <row r="446" spans="1:3" x14ac:dyDescent="0.25">
      <c r="A446" t="s">
        <v>772</v>
      </c>
      <c r="B446" t="s">
        <v>520</v>
      </c>
      <c r="C446" t="s">
        <v>522</v>
      </c>
    </row>
    <row r="447" spans="1:3" x14ac:dyDescent="0.25">
      <c r="A447" t="s">
        <v>773</v>
      </c>
      <c r="B447" t="s">
        <v>520</v>
      </c>
      <c r="C447" t="s">
        <v>522</v>
      </c>
    </row>
    <row r="448" spans="1:3" x14ac:dyDescent="0.25">
      <c r="A448" t="s">
        <v>774</v>
      </c>
      <c r="B448" t="s">
        <v>520</v>
      </c>
      <c r="C448" t="s">
        <v>522</v>
      </c>
    </row>
    <row r="449" spans="1:3" x14ac:dyDescent="0.25">
      <c r="A449" t="s">
        <v>775</v>
      </c>
      <c r="B449" t="s">
        <v>520</v>
      </c>
      <c r="C449" t="s">
        <v>522</v>
      </c>
    </row>
    <row r="450" spans="1:3" x14ac:dyDescent="0.25">
      <c r="A450" t="s">
        <v>776</v>
      </c>
      <c r="B450" t="s">
        <v>520</v>
      </c>
      <c r="C450" t="s">
        <v>522</v>
      </c>
    </row>
    <row r="451" spans="1:3" x14ac:dyDescent="0.25">
      <c r="A451" t="s">
        <v>777</v>
      </c>
      <c r="B451" t="s">
        <v>520</v>
      </c>
      <c r="C451" t="s">
        <v>522</v>
      </c>
    </row>
    <row r="452" spans="1:3" x14ac:dyDescent="0.25">
      <c r="A452" t="s">
        <v>778</v>
      </c>
      <c r="B452" t="s">
        <v>520</v>
      </c>
      <c r="C452" t="s">
        <v>522</v>
      </c>
    </row>
    <row r="453" spans="1:3" x14ac:dyDescent="0.25">
      <c r="A453" t="s">
        <v>779</v>
      </c>
      <c r="B453" t="s">
        <v>520</v>
      </c>
      <c r="C453" t="s">
        <v>522</v>
      </c>
    </row>
    <row r="454" spans="1:3" x14ac:dyDescent="0.25">
      <c r="A454" t="s">
        <v>780</v>
      </c>
      <c r="B454" t="s">
        <v>520</v>
      </c>
      <c r="C454" t="s">
        <v>522</v>
      </c>
    </row>
    <row r="455" spans="1:3" x14ac:dyDescent="0.25">
      <c r="A455" t="s">
        <v>781</v>
      </c>
      <c r="B455" t="s">
        <v>520</v>
      </c>
      <c r="C455" t="s">
        <v>522</v>
      </c>
    </row>
    <row r="456" spans="1:3" x14ac:dyDescent="0.25">
      <c r="A456" t="s">
        <v>782</v>
      </c>
      <c r="B456" t="s">
        <v>520</v>
      </c>
      <c r="C456" t="s">
        <v>522</v>
      </c>
    </row>
    <row r="457" spans="1:3" x14ac:dyDescent="0.25">
      <c r="A457" t="s">
        <v>783</v>
      </c>
      <c r="B457" t="s">
        <v>520</v>
      </c>
      <c r="C457" t="s">
        <v>522</v>
      </c>
    </row>
    <row r="458" spans="1:3" x14ac:dyDescent="0.25">
      <c r="A458" t="s">
        <v>784</v>
      </c>
      <c r="B458" t="s">
        <v>520</v>
      </c>
      <c r="C458" t="s">
        <v>522</v>
      </c>
    </row>
    <row r="459" spans="1:3" x14ac:dyDescent="0.25">
      <c r="A459" t="s">
        <v>785</v>
      </c>
      <c r="B459" t="s">
        <v>520</v>
      </c>
      <c r="C459" t="s">
        <v>522</v>
      </c>
    </row>
    <row r="460" spans="1:3" x14ac:dyDescent="0.25">
      <c r="A460" t="s">
        <v>786</v>
      </c>
      <c r="B460" t="s">
        <v>520</v>
      </c>
      <c r="C460" t="s">
        <v>522</v>
      </c>
    </row>
    <row r="461" spans="1:3" x14ac:dyDescent="0.25">
      <c r="A461" t="s">
        <v>787</v>
      </c>
      <c r="B461" t="s">
        <v>520</v>
      </c>
      <c r="C461" t="s">
        <v>522</v>
      </c>
    </row>
    <row r="462" spans="1:3" x14ac:dyDescent="0.25">
      <c r="A462" t="s">
        <v>788</v>
      </c>
      <c r="B462" t="s">
        <v>520</v>
      </c>
      <c r="C462" t="s">
        <v>522</v>
      </c>
    </row>
    <row r="463" spans="1:3" x14ac:dyDescent="0.25">
      <c r="A463" t="s">
        <v>789</v>
      </c>
      <c r="B463" t="s">
        <v>520</v>
      </c>
      <c r="C463" t="s">
        <v>522</v>
      </c>
    </row>
    <row r="464" spans="1:3" x14ac:dyDescent="0.25">
      <c r="A464" t="s">
        <v>790</v>
      </c>
      <c r="B464" t="s">
        <v>520</v>
      </c>
      <c r="C464" t="s">
        <v>522</v>
      </c>
    </row>
    <row r="465" spans="1:3" x14ac:dyDescent="0.25">
      <c r="A465" t="s">
        <v>791</v>
      </c>
      <c r="B465" t="s">
        <v>520</v>
      </c>
      <c r="C465" t="s">
        <v>522</v>
      </c>
    </row>
    <row r="466" spans="1:3" x14ac:dyDescent="0.25">
      <c r="A466" t="s">
        <v>792</v>
      </c>
      <c r="B466" t="s">
        <v>520</v>
      </c>
      <c r="C466" t="s">
        <v>522</v>
      </c>
    </row>
    <row r="467" spans="1:3" x14ac:dyDescent="0.25">
      <c r="A467" t="s">
        <v>793</v>
      </c>
      <c r="B467" t="s">
        <v>520</v>
      </c>
      <c r="C467" t="s">
        <v>522</v>
      </c>
    </row>
    <row r="468" spans="1:3" x14ac:dyDescent="0.25">
      <c r="A468" t="s">
        <v>794</v>
      </c>
      <c r="B468" t="s">
        <v>520</v>
      </c>
      <c r="C468" t="s">
        <v>522</v>
      </c>
    </row>
    <row r="469" spans="1:3" x14ac:dyDescent="0.25">
      <c r="A469" t="s">
        <v>795</v>
      </c>
      <c r="B469" t="s">
        <v>520</v>
      </c>
      <c r="C469" t="s">
        <v>522</v>
      </c>
    </row>
    <row r="470" spans="1:3" x14ac:dyDescent="0.25">
      <c r="A470" t="s">
        <v>796</v>
      </c>
      <c r="B470" t="s">
        <v>520</v>
      </c>
      <c r="C470" t="s">
        <v>522</v>
      </c>
    </row>
    <row r="471" spans="1:3" x14ac:dyDescent="0.25">
      <c r="A471" t="s">
        <v>797</v>
      </c>
      <c r="B471" t="s">
        <v>520</v>
      </c>
      <c r="C471" t="s">
        <v>522</v>
      </c>
    </row>
    <row r="472" spans="1:3" x14ac:dyDescent="0.25">
      <c r="A472" t="s">
        <v>798</v>
      </c>
      <c r="B472" t="s">
        <v>520</v>
      </c>
      <c r="C472" t="s">
        <v>522</v>
      </c>
    </row>
    <row r="473" spans="1:3" x14ac:dyDescent="0.25">
      <c r="A473" t="s">
        <v>799</v>
      </c>
      <c r="B473" t="s">
        <v>520</v>
      </c>
      <c r="C473" t="s">
        <v>522</v>
      </c>
    </row>
    <row r="474" spans="1:3" x14ac:dyDescent="0.25">
      <c r="A474" t="s">
        <v>800</v>
      </c>
      <c r="B474" t="s">
        <v>520</v>
      </c>
      <c r="C474" t="s">
        <v>522</v>
      </c>
    </row>
    <row r="475" spans="1:3" x14ac:dyDescent="0.25">
      <c r="A475" t="s">
        <v>801</v>
      </c>
      <c r="B475" t="s">
        <v>520</v>
      </c>
      <c r="C475" t="s">
        <v>522</v>
      </c>
    </row>
    <row r="476" spans="1:3" x14ac:dyDescent="0.25">
      <c r="A476" t="s">
        <v>802</v>
      </c>
      <c r="B476" t="s">
        <v>520</v>
      </c>
      <c r="C476" t="s">
        <v>522</v>
      </c>
    </row>
    <row r="477" spans="1:3" x14ac:dyDescent="0.25">
      <c r="A477" t="s">
        <v>803</v>
      </c>
      <c r="B477" t="s">
        <v>520</v>
      </c>
      <c r="C477" t="s">
        <v>522</v>
      </c>
    </row>
    <row r="478" spans="1:3" x14ac:dyDescent="0.25">
      <c r="A478" t="s">
        <v>804</v>
      </c>
      <c r="B478" t="s">
        <v>520</v>
      </c>
      <c r="C478" t="s">
        <v>522</v>
      </c>
    </row>
    <row r="479" spans="1:3" x14ac:dyDescent="0.25">
      <c r="A479" t="s">
        <v>805</v>
      </c>
      <c r="B479" t="s">
        <v>520</v>
      </c>
      <c r="C479" t="s">
        <v>522</v>
      </c>
    </row>
    <row r="480" spans="1:3" x14ac:dyDescent="0.25">
      <c r="A480" t="s">
        <v>806</v>
      </c>
      <c r="B480" t="s">
        <v>520</v>
      </c>
      <c r="C480" t="s">
        <v>522</v>
      </c>
    </row>
    <row r="481" spans="1:3" x14ac:dyDescent="0.25">
      <c r="A481" t="s">
        <v>807</v>
      </c>
      <c r="B481" t="s">
        <v>520</v>
      </c>
      <c r="C481" t="s">
        <v>522</v>
      </c>
    </row>
    <row r="482" spans="1:3" x14ac:dyDescent="0.25">
      <c r="A482" t="s">
        <v>808</v>
      </c>
      <c r="B482" t="s">
        <v>520</v>
      </c>
      <c r="C482" t="s">
        <v>522</v>
      </c>
    </row>
    <row r="483" spans="1:3" x14ac:dyDescent="0.25">
      <c r="A483" t="s">
        <v>809</v>
      </c>
      <c r="B483" t="s">
        <v>520</v>
      </c>
      <c r="C483" t="s">
        <v>522</v>
      </c>
    </row>
    <row r="484" spans="1:3" x14ac:dyDescent="0.25">
      <c r="A484" t="s">
        <v>810</v>
      </c>
      <c r="B484" t="s">
        <v>520</v>
      </c>
      <c r="C484" t="s">
        <v>522</v>
      </c>
    </row>
    <row r="485" spans="1:3" x14ac:dyDescent="0.25">
      <c r="A485" t="s">
        <v>811</v>
      </c>
      <c r="B485" t="s">
        <v>520</v>
      </c>
      <c r="C485" t="s">
        <v>522</v>
      </c>
    </row>
    <row r="486" spans="1:3" x14ac:dyDescent="0.25">
      <c r="A486" t="s">
        <v>812</v>
      </c>
      <c r="B486" t="s">
        <v>520</v>
      </c>
      <c r="C486" t="s">
        <v>522</v>
      </c>
    </row>
    <row r="487" spans="1:3" x14ac:dyDescent="0.25">
      <c r="A487" t="s">
        <v>813</v>
      </c>
      <c r="B487" t="s">
        <v>520</v>
      </c>
      <c r="C487" t="s">
        <v>522</v>
      </c>
    </row>
    <row r="488" spans="1:3" x14ac:dyDescent="0.25">
      <c r="A488" t="s">
        <v>814</v>
      </c>
      <c r="B488" t="s">
        <v>520</v>
      </c>
      <c r="C488" t="s">
        <v>522</v>
      </c>
    </row>
    <row r="489" spans="1:3" x14ac:dyDescent="0.25">
      <c r="A489" t="s">
        <v>815</v>
      </c>
      <c r="B489" t="s">
        <v>520</v>
      </c>
      <c r="C489" t="s">
        <v>522</v>
      </c>
    </row>
    <row r="490" spans="1:3" x14ac:dyDescent="0.25">
      <c r="A490" t="s">
        <v>816</v>
      </c>
      <c r="B490" t="s">
        <v>520</v>
      </c>
      <c r="C490" t="s">
        <v>522</v>
      </c>
    </row>
    <row r="491" spans="1:3" x14ac:dyDescent="0.25">
      <c r="A491" t="s">
        <v>817</v>
      </c>
      <c r="B491" t="s">
        <v>520</v>
      </c>
      <c r="C491" t="s">
        <v>522</v>
      </c>
    </row>
    <row r="492" spans="1:3" x14ac:dyDescent="0.25">
      <c r="A492" t="s">
        <v>818</v>
      </c>
      <c r="B492" t="s">
        <v>520</v>
      </c>
      <c r="C492" t="s">
        <v>522</v>
      </c>
    </row>
    <row r="493" spans="1:3" x14ac:dyDescent="0.25">
      <c r="A493" t="s">
        <v>819</v>
      </c>
      <c r="B493" t="s">
        <v>520</v>
      </c>
      <c r="C493" t="s">
        <v>522</v>
      </c>
    </row>
    <row r="494" spans="1:3" x14ac:dyDescent="0.25">
      <c r="A494" t="s">
        <v>820</v>
      </c>
      <c r="B494" t="s">
        <v>520</v>
      </c>
      <c r="C494" t="s">
        <v>522</v>
      </c>
    </row>
    <row r="495" spans="1:3" x14ac:dyDescent="0.25">
      <c r="A495" t="s">
        <v>821</v>
      </c>
      <c r="B495" t="s">
        <v>520</v>
      </c>
      <c r="C495" t="s">
        <v>522</v>
      </c>
    </row>
    <row r="496" spans="1:3" x14ac:dyDescent="0.25">
      <c r="A496" t="s">
        <v>822</v>
      </c>
      <c r="B496" t="s">
        <v>520</v>
      </c>
      <c r="C496" t="s">
        <v>522</v>
      </c>
    </row>
    <row r="497" spans="1:3" x14ac:dyDescent="0.25">
      <c r="A497" t="s">
        <v>823</v>
      </c>
      <c r="B497" t="s">
        <v>520</v>
      </c>
      <c r="C497" t="s">
        <v>522</v>
      </c>
    </row>
    <row r="498" spans="1:3" x14ac:dyDescent="0.25">
      <c r="A498" t="s">
        <v>824</v>
      </c>
      <c r="B498" t="s">
        <v>520</v>
      </c>
      <c r="C498" t="s">
        <v>522</v>
      </c>
    </row>
    <row r="499" spans="1:3" x14ac:dyDescent="0.25">
      <c r="A499" t="s">
        <v>825</v>
      </c>
      <c r="B499" t="s">
        <v>520</v>
      </c>
      <c r="C499" t="s">
        <v>522</v>
      </c>
    </row>
    <row r="500" spans="1:3" x14ac:dyDescent="0.25">
      <c r="A500" t="s">
        <v>826</v>
      </c>
      <c r="B500" t="s">
        <v>520</v>
      </c>
      <c r="C500" t="s">
        <v>522</v>
      </c>
    </row>
    <row r="501" spans="1:3" x14ac:dyDescent="0.25">
      <c r="A501" t="s">
        <v>827</v>
      </c>
      <c r="B501" t="s">
        <v>520</v>
      </c>
      <c r="C501" t="s">
        <v>522</v>
      </c>
    </row>
    <row r="502" spans="1:3" x14ac:dyDescent="0.25">
      <c r="A502" t="s">
        <v>828</v>
      </c>
      <c r="B502" t="s">
        <v>520</v>
      </c>
      <c r="C502" t="s">
        <v>522</v>
      </c>
    </row>
    <row r="503" spans="1:3" x14ac:dyDescent="0.25">
      <c r="A503" t="s">
        <v>829</v>
      </c>
      <c r="B503" t="s">
        <v>520</v>
      </c>
      <c r="C503" t="s">
        <v>522</v>
      </c>
    </row>
    <row r="504" spans="1:3" x14ac:dyDescent="0.25">
      <c r="A504" t="s">
        <v>830</v>
      </c>
      <c r="B504" t="s">
        <v>520</v>
      </c>
      <c r="C504" t="s">
        <v>522</v>
      </c>
    </row>
    <row r="505" spans="1:3" x14ac:dyDescent="0.25">
      <c r="A505" t="s">
        <v>831</v>
      </c>
      <c r="B505" t="s">
        <v>520</v>
      </c>
      <c r="C505" t="s">
        <v>522</v>
      </c>
    </row>
    <row r="506" spans="1:3" x14ac:dyDescent="0.25">
      <c r="A506" t="s">
        <v>832</v>
      </c>
      <c r="B506" t="s">
        <v>520</v>
      </c>
      <c r="C506" t="s">
        <v>522</v>
      </c>
    </row>
    <row r="507" spans="1:3" x14ac:dyDescent="0.25">
      <c r="A507" t="s">
        <v>833</v>
      </c>
      <c r="B507" t="s">
        <v>520</v>
      </c>
      <c r="C507" t="s">
        <v>522</v>
      </c>
    </row>
    <row r="508" spans="1:3" x14ac:dyDescent="0.25">
      <c r="A508" t="s">
        <v>834</v>
      </c>
      <c r="B508" t="s">
        <v>520</v>
      </c>
      <c r="C508" t="s">
        <v>522</v>
      </c>
    </row>
    <row r="509" spans="1:3" x14ac:dyDescent="0.25">
      <c r="A509" t="s">
        <v>835</v>
      </c>
      <c r="B509" t="s">
        <v>520</v>
      </c>
      <c r="C509" t="s">
        <v>522</v>
      </c>
    </row>
    <row r="510" spans="1:3" x14ac:dyDescent="0.25">
      <c r="A510" t="s">
        <v>836</v>
      </c>
      <c r="B510" t="s">
        <v>520</v>
      </c>
      <c r="C510" t="s">
        <v>522</v>
      </c>
    </row>
    <row r="511" spans="1:3" x14ac:dyDescent="0.25">
      <c r="A511" t="s">
        <v>837</v>
      </c>
      <c r="B511" t="s">
        <v>520</v>
      </c>
      <c r="C511" t="s">
        <v>522</v>
      </c>
    </row>
    <row r="512" spans="1:3" x14ac:dyDescent="0.25">
      <c r="A512" t="s">
        <v>838</v>
      </c>
      <c r="B512" t="s">
        <v>520</v>
      </c>
      <c r="C512" t="s">
        <v>522</v>
      </c>
    </row>
    <row r="513" spans="1:3" x14ac:dyDescent="0.25">
      <c r="A513" t="s">
        <v>839</v>
      </c>
      <c r="B513" t="s">
        <v>520</v>
      </c>
      <c r="C513" t="s">
        <v>522</v>
      </c>
    </row>
    <row r="514" spans="1:3" x14ac:dyDescent="0.25">
      <c r="A514" t="s">
        <v>840</v>
      </c>
      <c r="B514" t="s">
        <v>520</v>
      </c>
      <c r="C514" t="s">
        <v>522</v>
      </c>
    </row>
    <row r="515" spans="1:3" x14ac:dyDescent="0.25">
      <c r="A515" t="s">
        <v>841</v>
      </c>
      <c r="B515" t="s">
        <v>520</v>
      </c>
      <c r="C515" t="s">
        <v>522</v>
      </c>
    </row>
    <row r="516" spans="1:3" x14ac:dyDescent="0.25">
      <c r="A516" t="s">
        <v>842</v>
      </c>
      <c r="B516" t="s">
        <v>520</v>
      </c>
      <c r="C516" t="s">
        <v>522</v>
      </c>
    </row>
    <row r="517" spans="1:3" x14ac:dyDescent="0.25">
      <c r="A517" t="s">
        <v>843</v>
      </c>
      <c r="B517" t="s">
        <v>520</v>
      </c>
      <c r="C517" t="s">
        <v>522</v>
      </c>
    </row>
    <row r="518" spans="1:3" x14ac:dyDescent="0.25">
      <c r="A518" t="s">
        <v>844</v>
      </c>
      <c r="B518" t="s">
        <v>520</v>
      </c>
      <c r="C518" t="s">
        <v>522</v>
      </c>
    </row>
    <row r="519" spans="1:3" x14ac:dyDescent="0.25">
      <c r="A519" t="s">
        <v>845</v>
      </c>
      <c r="B519" t="s">
        <v>520</v>
      </c>
      <c r="C519" t="s">
        <v>522</v>
      </c>
    </row>
    <row r="520" spans="1:3" x14ac:dyDescent="0.25">
      <c r="A520" t="s">
        <v>846</v>
      </c>
      <c r="B520" t="s">
        <v>520</v>
      </c>
      <c r="C520" t="s">
        <v>522</v>
      </c>
    </row>
    <row r="521" spans="1:3" x14ac:dyDescent="0.25">
      <c r="A521" t="s">
        <v>847</v>
      </c>
      <c r="B521" t="s">
        <v>520</v>
      </c>
      <c r="C521" t="s">
        <v>522</v>
      </c>
    </row>
    <row r="522" spans="1:3" x14ac:dyDescent="0.25">
      <c r="A522" t="s">
        <v>848</v>
      </c>
      <c r="B522" t="s">
        <v>520</v>
      </c>
      <c r="C522" t="s">
        <v>522</v>
      </c>
    </row>
    <row r="523" spans="1:3" x14ac:dyDescent="0.25">
      <c r="A523" t="s">
        <v>849</v>
      </c>
      <c r="B523" t="s">
        <v>520</v>
      </c>
      <c r="C523" t="s">
        <v>522</v>
      </c>
    </row>
    <row r="524" spans="1:3" x14ac:dyDescent="0.25">
      <c r="A524" t="s">
        <v>850</v>
      </c>
      <c r="B524" t="s">
        <v>520</v>
      </c>
      <c r="C524" t="s">
        <v>522</v>
      </c>
    </row>
    <row r="525" spans="1:3" x14ac:dyDescent="0.25">
      <c r="A525" t="s">
        <v>851</v>
      </c>
      <c r="B525" t="s">
        <v>520</v>
      </c>
      <c r="C525" t="s">
        <v>522</v>
      </c>
    </row>
    <row r="526" spans="1:3" x14ac:dyDescent="0.25">
      <c r="A526" t="s">
        <v>852</v>
      </c>
      <c r="B526" t="s">
        <v>520</v>
      </c>
      <c r="C526" t="s">
        <v>522</v>
      </c>
    </row>
    <row r="527" spans="1:3" x14ac:dyDescent="0.25">
      <c r="A527" t="s">
        <v>853</v>
      </c>
      <c r="B527" t="s">
        <v>520</v>
      </c>
      <c r="C527" t="s">
        <v>522</v>
      </c>
    </row>
    <row r="528" spans="1:3" x14ac:dyDescent="0.25">
      <c r="A528" t="s">
        <v>854</v>
      </c>
      <c r="B528" t="s">
        <v>520</v>
      </c>
      <c r="C528" t="s">
        <v>522</v>
      </c>
    </row>
    <row r="529" spans="1:3" x14ac:dyDescent="0.25">
      <c r="A529" t="s">
        <v>855</v>
      </c>
      <c r="B529" t="s">
        <v>520</v>
      </c>
      <c r="C529" t="s">
        <v>522</v>
      </c>
    </row>
    <row r="530" spans="1:3" x14ac:dyDescent="0.25">
      <c r="A530" t="s">
        <v>856</v>
      </c>
      <c r="B530" t="s">
        <v>520</v>
      </c>
      <c r="C530" t="s">
        <v>522</v>
      </c>
    </row>
    <row r="531" spans="1:3" x14ac:dyDescent="0.25">
      <c r="A531" t="s">
        <v>857</v>
      </c>
      <c r="B531" t="s">
        <v>520</v>
      </c>
      <c r="C531" t="s">
        <v>522</v>
      </c>
    </row>
    <row r="532" spans="1:3" x14ac:dyDescent="0.25">
      <c r="A532" t="s">
        <v>858</v>
      </c>
      <c r="B532" t="s">
        <v>520</v>
      </c>
      <c r="C532" t="s">
        <v>522</v>
      </c>
    </row>
    <row r="533" spans="1:3" x14ac:dyDescent="0.25">
      <c r="A533" t="s">
        <v>859</v>
      </c>
      <c r="B533" t="s">
        <v>520</v>
      </c>
      <c r="C533" t="s">
        <v>522</v>
      </c>
    </row>
    <row r="534" spans="1:3" x14ac:dyDescent="0.25">
      <c r="A534" t="s">
        <v>860</v>
      </c>
      <c r="B534" t="s">
        <v>520</v>
      </c>
      <c r="C534" t="s">
        <v>522</v>
      </c>
    </row>
    <row r="535" spans="1:3" x14ac:dyDescent="0.25">
      <c r="A535" t="s">
        <v>861</v>
      </c>
      <c r="B535" t="s">
        <v>520</v>
      </c>
      <c r="C535" t="s">
        <v>522</v>
      </c>
    </row>
    <row r="536" spans="1:3" x14ac:dyDescent="0.25">
      <c r="A536" t="s">
        <v>862</v>
      </c>
      <c r="B536" t="s">
        <v>520</v>
      </c>
      <c r="C536" t="s">
        <v>522</v>
      </c>
    </row>
    <row r="537" spans="1:3" x14ac:dyDescent="0.25">
      <c r="A537" t="s">
        <v>863</v>
      </c>
      <c r="B537" t="s">
        <v>520</v>
      </c>
      <c r="C537" t="s">
        <v>522</v>
      </c>
    </row>
    <row r="538" spans="1:3" x14ac:dyDescent="0.25">
      <c r="A538" t="s">
        <v>864</v>
      </c>
      <c r="B538" t="s">
        <v>520</v>
      </c>
      <c r="C538" t="s">
        <v>522</v>
      </c>
    </row>
    <row r="539" spans="1:3" x14ac:dyDescent="0.25">
      <c r="A539" t="s">
        <v>865</v>
      </c>
      <c r="B539" t="s">
        <v>520</v>
      </c>
      <c r="C539" t="s">
        <v>522</v>
      </c>
    </row>
    <row r="540" spans="1:3" x14ac:dyDescent="0.25">
      <c r="A540" t="s">
        <v>866</v>
      </c>
      <c r="B540" t="s">
        <v>520</v>
      </c>
      <c r="C540" t="s">
        <v>522</v>
      </c>
    </row>
    <row r="541" spans="1:3" x14ac:dyDescent="0.25">
      <c r="A541" t="s">
        <v>867</v>
      </c>
      <c r="B541" t="s">
        <v>520</v>
      </c>
      <c r="C541" t="s">
        <v>522</v>
      </c>
    </row>
    <row r="542" spans="1:3" x14ac:dyDescent="0.25">
      <c r="A542" t="s">
        <v>868</v>
      </c>
      <c r="B542" t="s">
        <v>520</v>
      </c>
      <c r="C542" t="s">
        <v>522</v>
      </c>
    </row>
    <row r="543" spans="1:3" x14ac:dyDescent="0.25">
      <c r="A543" t="s">
        <v>869</v>
      </c>
      <c r="B543" t="s">
        <v>520</v>
      </c>
      <c r="C543" t="s">
        <v>522</v>
      </c>
    </row>
    <row r="544" spans="1:3" x14ac:dyDescent="0.25">
      <c r="A544" t="s">
        <v>870</v>
      </c>
      <c r="B544" t="s">
        <v>520</v>
      </c>
      <c r="C544" t="s">
        <v>522</v>
      </c>
    </row>
    <row r="545" spans="1:3" x14ac:dyDescent="0.25">
      <c r="A545" t="s">
        <v>871</v>
      </c>
      <c r="B545" t="s">
        <v>520</v>
      </c>
      <c r="C545" t="s">
        <v>522</v>
      </c>
    </row>
    <row r="546" spans="1:3" x14ac:dyDescent="0.25">
      <c r="A546" t="s">
        <v>872</v>
      </c>
      <c r="B546" t="s">
        <v>520</v>
      </c>
      <c r="C546" t="s">
        <v>522</v>
      </c>
    </row>
    <row r="547" spans="1:3" x14ac:dyDescent="0.25">
      <c r="A547" t="s">
        <v>873</v>
      </c>
      <c r="B547" t="s">
        <v>520</v>
      </c>
      <c r="C547" t="s">
        <v>522</v>
      </c>
    </row>
    <row r="548" spans="1:3" x14ac:dyDescent="0.25">
      <c r="A548" t="s">
        <v>874</v>
      </c>
      <c r="B548" t="s">
        <v>520</v>
      </c>
      <c r="C548" t="s">
        <v>522</v>
      </c>
    </row>
    <row r="549" spans="1:3" x14ac:dyDescent="0.25">
      <c r="A549" t="s">
        <v>875</v>
      </c>
      <c r="B549" t="s">
        <v>520</v>
      </c>
      <c r="C549" t="s">
        <v>522</v>
      </c>
    </row>
    <row r="550" spans="1:3" x14ac:dyDescent="0.25">
      <c r="A550" t="s">
        <v>876</v>
      </c>
      <c r="B550" t="s">
        <v>520</v>
      </c>
      <c r="C550" t="s">
        <v>522</v>
      </c>
    </row>
    <row r="551" spans="1:3" x14ac:dyDescent="0.25">
      <c r="A551" t="s">
        <v>877</v>
      </c>
      <c r="B551" t="s">
        <v>520</v>
      </c>
      <c r="C551" t="s">
        <v>522</v>
      </c>
    </row>
    <row r="552" spans="1:3" x14ac:dyDescent="0.25">
      <c r="A552" t="s">
        <v>878</v>
      </c>
      <c r="B552" t="s">
        <v>520</v>
      </c>
      <c r="C552" t="s">
        <v>522</v>
      </c>
    </row>
    <row r="553" spans="1:3" x14ac:dyDescent="0.25">
      <c r="A553" t="s">
        <v>879</v>
      </c>
      <c r="B553" t="s">
        <v>520</v>
      </c>
      <c r="C553" t="s">
        <v>522</v>
      </c>
    </row>
    <row r="554" spans="1:3" x14ac:dyDescent="0.25">
      <c r="A554" t="s">
        <v>880</v>
      </c>
      <c r="B554" t="s">
        <v>520</v>
      </c>
      <c r="C554" t="s">
        <v>522</v>
      </c>
    </row>
    <row r="555" spans="1:3" x14ac:dyDescent="0.25">
      <c r="A555" t="s">
        <v>881</v>
      </c>
      <c r="B555" t="s">
        <v>520</v>
      </c>
      <c r="C555" t="s">
        <v>522</v>
      </c>
    </row>
    <row r="556" spans="1:3" x14ac:dyDescent="0.25">
      <c r="A556" t="s">
        <v>882</v>
      </c>
      <c r="B556" t="s">
        <v>520</v>
      </c>
      <c r="C556" t="s">
        <v>522</v>
      </c>
    </row>
    <row r="557" spans="1:3" x14ac:dyDescent="0.25">
      <c r="A557" t="s">
        <v>883</v>
      </c>
      <c r="B557" t="s">
        <v>520</v>
      </c>
      <c r="C557" t="s">
        <v>522</v>
      </c>
    </row>
    <row r="558" spans="1:3" x14ac:dyDescent="0.25">
      <c r="A558" t="s">
        <v>884</v>
      </c>
      <c r="B558" t="s">
        <v>520</v>
      </c>
      <c r="C558" t="s">
        <v>522</v>
      </c>
    </row>
    <row r="559" spans="1:3" x14ac:dyDescent="0.25">
      <c r="A559" t="s">
        <v>885</v>
      </c>
      <c r="B559" t="s">
        <v>520</v>
      </c>
      <c r="C559" t="s">
        <v>522</v>
      </c>
    </row>
    <row r="560" spans="1:3" x14ac:dyDescent="0.25">
      <c r="A560" t="s">
        <v>886</v>
      </c>
      <c r="B560" t="s">
        <v>520</v>
      </c>
      <c r="C560" t="s">
        <v>522</v>
      </c>
    </row>
    <row r="561" spans="1:3" x14ac:dyDescent="0.25">
      <c r="A561" t="s">
        <v>887</v>
      </c>
      <c r="B561" t="s">
        <v>520</v>
      </c>
      <c r="C561" t="s">
        <v>522</v>
      </c>
    </row>
    <row r="562" spans="1:3" x14ac:dyDescent="0.25">
      <c r="A562" t="s">
        <v>888</v>
      </c>
      <c r="B562" t="s">
        <v>520</v>
      </c>
      <c r="C562" t="s">
        <v>522</v>
      </c>
    </row>
    <row r="563" spans="1:3" x14ac:dyDescent="0.25">
      <c r="A563" t="s">
        <v>889</v>
      </c>
      <c r="B563" t="s">
        <v>520</v>
      </c>
      <c r="C563" t="s">
        <v>522</v>
      </c>
    </row>
    <row r="564" spans="1:3" x14ac:dyDescent="0.25">
      <c r="A564" t="s">
        <v>890</v>
      </c>
      <c r="B564" t="s">
        <v>520</v>
      </c>
      <c r="C564" t="s">
        <v>522</v>
      </c>
    </row>
    <row r="565" spans="1:3" x14ac:dyDescent="0.25">
      <c r="A565" t="s">
        <v>891</v>
      </c>
      <c r="B565" t="s">
        <v>520</v>
      </c>
      <c r="C565" t="s">
        <v>522</v>
      </c>
    </row>
    <row r="566" spans="1:3" x14ac:dyDescent="0.25">
      <c r="A566" t="s">
        <v>892</v>
      </c>
      <c r="B566" t="s">
        <v>520</v>
      </c>
      <c r="C566" t="s">
        <v>522</v>
      </c>
    </row>
    <row r="567" spans="1:3" x14ac:dyDescent="0.25">
      <c r="A567" t="s">
        <v>893</v>
      </c>
      <c r="B567" t="s">
        <v>520</v>
      </c>
      <c r="C567" t="s">
        <v>522</v>
      </c>
    </row>
    <row r="568" spans="1:3" x14ac:dyDescent="0.25">
      <c r="A568" t="s">
        <v>894</v>
      </c>
      <c r="B568" t="s">
        <v>520</v>
      </c>
      <c r="C568" t="s">
        <v>522</v>
      </c>
    </row>
    <row r="569" spans="1:3" x14ac:dyDescent="0.25">
      <c r="A569" t="s">
        <v>895</v>
      </c>
      <c r="B569" t="s">
        <v>520</v>
      </c>
      <c r="C569" t="s">
        <v>522</v>
      </c>
    </row>
    <row r="570" spans="1:3" x14ac:dyDescent="0.25">
      <c r="A570" t="s">
        <v>896</v>
      </c>
      <c r="B570" t="s">
        <v>520</v>
      </c>
      <c r="C570" t="s">
        <v>522</v>
      </c>
    </row>
    <row r="571" spans="1:3" x14ac:dyDescent="0.25">
      <c r="A571" t="s">
        <v>897</v>
      </c>
      <c r="B571" t="s">
        <v>520</v>
      </c>
      <c r="C571" t="s">
        <v>522</v>
      </c>
    </row>
    <row r="572" spans="1:3" x14ac:dyDescent="0.25">
      <c r="A572" t="s">
        <v>898</v>
      </c>
      <c r="B572" t="s">
        <v>520</v>
      </c>
      <c r="C572" t="s">
        <v>522</v>
      </c>
    </row>
    <row r="573" spans="1:3" x14ac:dyDescent="0.25">
      <c r="A573" t="s">
        <v>899</v>
      </c>
      <c r="B573" t="s">
        <v>520</v>
      </c>
      <c r="C573" t="s">
        <v>522</v>
      </c>
    </row>
    <row r="574" spans="1:3" x14ac:dyDescent="0.25">
      <c r="A574" t="s">
        <v>900</v>
      </c>
      <c r="B574" t="s">
        <v>520</v>
      </c>
      <c r="C574" t="s">
        <v>522</v>
      </c>
    </row>
    <row r="575" spans="1:3" x14ac:dyDescent="0.25">
      <c r="A575" t="s">
        <v>901</v>
      </c>
      <c r="B575" t="s">
        <v>520</v>
      </c>
      <c r="C575" t="s">
        <v>522</v>
      </c>
    </row>
    <row r="576" spans="1:3" x14ac:dyDescent="0.25">
      <c r="A576" t="s">
        <v>902</v>
      </c>
      <c r="B576" t="s">
        <v>520</v>
      </c>
      <c r="C576" t="s">
        <v>522</v>
      </c>
    </row>
    <row r="577" spans="1:3" x14ac:dyDescent="0.25">
      <c r="A577" t="s">
        <v>903</v>
      </c>
      <c r="B577" t="s">
        <v>520</v>
      </c>
      <c r="C577" t="s">
        <v>522</v>
      </c>
    </row>
    <row r="578" spans="1:3" x14ac:dyDescent="0.25">
      <c r="A578" t="s">
        <v>904</v>
      </c>
      <c r="B578" t="s">
        <v>520</v>
      </c>
      <c r="C578" t="s">
        <v>522</v>
      </c>
    </row>
    <row r="579" spans="1:3" x14ac:dyDescent="0.25">
      <c r="A579" t="s">
        <v>905</v>
      </c>
      <c r="B579" t="s">
        <v>520</v>
      </c>
      <c r="C579" t="s">
        <v>522</v>
      </c>
    </row>
    <row r="580" spans="1:3" x14ac:dyDescent="0.25">
      <c r="A580" t="s">
        <v>906</v>
      </c>
      <c r="B580" t="s">
        <v>520</v>
      </c>
      <c r="C580" t="s">
        <v>522</v>
      </c>
    </row>
    <row r="581" spans="1:3" x14ac:dyDescent="0.25">
      <c r="A581" t="s">
        <v>907</v>
      </c>
      <c r="B581" t="s">
        <v>520</v>
      </c>
      <c r="C581" t="s">
        <v>522</v>
      </c>
    </row>
    <row r="582" spans="1:3" x14ac:dyDescent="0.25">
      <c r="A582" t="s">
        <v>908</v>
      </c>
      <c r="B582" t="s">
        <v>520</v>
      </c>
      <c r="C582" t="s">
        <v>522</v>
      </c>
    </row>
    <row r="583" spans="1:3" x14ac:dyDescent="0.25">
      <c r="A583" t="s">
        <v>909</v>
      </c>
      <c r="B583" t="s">
        <v>520</v>
      </c>
      <c r="C583" t="s">
        <v>522</v>
      </c>
    </row>
    <row r="584" spans="1:3" x14ac:dyDescent="0.25">
      <c r="A584" t="s">
        <v>910</v>
      </c>
      <c r="B584" t="s">
        <v>520</v>
      </c>
      <c r="C584" t="s">
        <v>522</v>
      </c>
    </row>
    <row r="585" spans="1:3" x14ac:dyDescent="0.25">
      <c r="A585" t="s">
        <v>911</v>
      </c>
      <c r="B585" t="s">
        <v>520</v>
      </c>
      <c r="C585" t="s">
        <v>522</v>
      </c>
    </row>
    <row r="586" spans="1:3" x14ac:dyDescent="0.25">
      <c r="A586" t="s">
        <v>912</v>
      </c>
      <c r="B586" t="s">
        <v>520</v>
      </c>
      <c r="C586" t="s">
        <v>522</v>
      </c>
    </row>
    <row r="587" spans="1:3" x14ac:dyDescent="0.25">
      <c r="A587" t="s">
        <v>913</v>
      </c>
      <c r="B587" t="s">
        <v>520</v>
      </c>
      <c r="C587" t="s">
        <v>522</v>
      </c>
    </row>
    <row r="588" spans="1:3" x14ac:dyDescent="0.25">
      <c r="A588" t="s">
        <v>914</v>
      </c>
      <c r="B588" t="s">
        <v>520</v>
      </c>
      <c r="C588" t="s">
        <v>522</v>
      </c>
    </row>
    <row r="589" spans="1:3" x14ac:dyDescent="0.25">
      <c r="A589" t="s">
        <v>915</v>
      </c>
      <c r="B589" t="s">
        <v>520</v>
      </c>
      <c r="C589" t="s">
        <v>522</v>
      </c>
    </row>
    <row r="590" spans="1:3" x14ac:dyDescent="0.25">
      <c r="A590" t="s">
        <v>916</v>
      </c>
      <c r="B590" t="s">
        <v>520</v>
      </c>
      <c r="C590" t="s">
        <v>522</v>
      </c>
    </row>
    <row r="591" spans="1:3" x14ac:dyDescent="0.25">
      <c r="A591" t="s">
        <v>917</v>
      </c>
      <c r="B591" t="s">
        <v>520</v>
      </c>
      <c r="C591" t="s">
        <v>522</v>
      </c>
    </row>
    <row r="592" spans="1:3" x14ac:dyDescent="0.25">
      <c r="A592" t="s">
        <v>918</v>
      </c>
      <c r="B592" t="s">
        <v>520</v>
      </c>
      <c r="C592" t="s">
        <v>522</v>
      </c>
    </row>
    <row r="593" spans="1:3" x14ac:dyDescent="0.25">
      <c r="A593" t="s">
        <v>919</v>
      </c>
      <c r="B593" t="s">
        <v>520</v>
      </c>
      <c r="C593" t="s">
        <v>522</v>
      </c>
    </row>
    <row r="594" spans="1:3" x14ac:dyDescent="0.25">
      <c r="A594" t="s">
        <v>920</v>
      </c>
      <c r="B594" t="s">
        <v>520</v>
      </c>
      <c r="C594" t="s">
        <v>522</v>
      </c>
    </row>
    <row r="595" spans="1:3" x14ac:dyDescent="0.25">
      <c r="A595" t="s">
        <v>921</v>
      </c>
      <c r="B595" t="s">
        <v>520</v>
      </c>
      <c r="C595" t="s">
        <v>522</v>
      </c>
    </row>
    <row r="596" spans="1:3" x14ac:dyDescent="0.25">
      <c r="A596" t="s">
        <v>922</v>
      </c>
      <c r="B596" t="s">
        <v>520</v>
      </c>
      <c r="C596" t="s">
        <v>522</v>
      </c>
    </row>
    <row r="597" spans="1:3" x14ac:dyDescent="0.25">
      <c r="A597" t="s">
        <v>923</v>
      </c>
      <c r="B597" t="s">
        <v>520</v>
      </c>
      <c r="C597" t="s">
        <v>522</v>
      </c>
    </row>
    <row r="598" spans="1:3" x14ac:dyDescent="0.25">
      <c r="A598" t="s">
        <v>924</v>
      </c>
      <c r="B598" t="s">
        <v>520</v>
      </c>
      <c r="C598" t="s">
        <v>522</v>
      </c>
    </row>
    <row r="599" spans="1:3" x14ac:dyDescent="0.25">
      <c r="A599" t="s">
        <v>925</v>
      </c>
      <c r="B599" t="s">
        <v>520</v>
      </c>
      <c r="C599" t="s">
        <v>522</v>
      </c>
    </row>
    <row r="600" spans="1:3" x14ac:dyDescent="0.25">
      <c r="A600" t="s">
        <v>926</v>
      </c>
      <c r="B600" t="s">
        <v>520</v>
      </c>
      <c r="C600" t="s">
        <v>522</v>
      </c>
    </row>
    <row r="601" spans="1:3" x14ac:dyDescent="0.25">
      <c r="A601" t="s">
        <v>927</v>
      </c>
      <c r="B601" t="s">
        <v>520</v>
      </c>
      <c r="C601" t="s">
        <v>522</v>
      </c>
    </row>
    <row r="602" spans="1:3" x14ac:dyDescent="0.25">
      <c r="A602" t="s">
        <v>928</v>
      </c>
      <c r="B602" t="s">
        <v>520</v>
      </c>
      <c r="C602" t="s">
        <v>522</v>
      </c>
    </row>
    <row r="603" spans="1:3" x14ac:dyDescent="0.25">
      <c r="A603" t="s">
        <v>929</v>
      </c>
      <c r="B603" t="s">
        <v>520</v>
      </c>
      <c r="C603" t="s">
        <v>522</v>
      </c>
    </row>
    <row r="604" spans="1:3" x14ac:dyDescent="0.25">
      <c r="A604" t="s">
        <v>930</v>
      </c>
      <c r="B604" t="s">
        <v>520</v>
      </c>
      <c r="C604" t="s">
        <v>522</v>
      </c>
    </row>
    <row r="605" spans="1:3" x14ac:dyDescent="0.25">
      <c r="A605" t="s">
        <v>931</v>
      </c>
      <c r="B605" t="s">
        <v>520</v>
      </c>
      <c r="C605" t="s">
        <v>522</v>
      </c>
    </row>
    <row r="606" spans="1:3" x14ac:dyDescent="0.25">
      <c r="A606" t="s">
        <v>932</v>
      </c>
      <c r="B606" t="s">
        <v>520</v>
      </c>
      <c r="C606" t="s">
        <v>522</v>
      </c>
    </row>
    <row r="607" spans="1:3" x14ac:dyDescent="0.25">
      <c r="A607" t="s">
        <v>933</v>
      </c>
      <c r="B607" t="s">
        <v>520</v>
      </c>
      <c r="C607" t="s">
        <v>522</v>
      </c>
    </row>
    <row r="608" spans="1:3" x14ac:dyDescent="0.25">
      <c r="A608" t="s">
        <v>934</v>
      </c>
      <c r="B608" t="s">
        <v>520</v>
      </c>
      <c r="C608" t="s">
        <v>522</v>
      </c>
    </row>
    <row r="609" spans="1:3" x14ac:dyDescent="0.25">
      <c r="A609" t="s">
        <v>935</v>
      </c>
      <c r="B609" t="s">
        <v>520</v>
      </c>
      <c r="C609" t="s">
        <v>522</v>
      </c>
    </row>
    <row r="610" spans="1:3" x14ac:dyDescent="0.25">
      <c r="A610" t="s">
        <v>567</v>
      </c>
      <c r="B610" t="s">
        <v>520</v>
      </c>
      <c r="C610" t="s">
        <v>522</v>
      </c>
    </row>
    <row r="611" spans="1:3" x14ac:dyDescent="0.25">
      <c r="A611" t="s">
        <v>339</v>
      </c>
      <c r="B611" t="s">
        <v>520</v>
      </c>
      <c r="C611" t="s">
        <v>522</v>
      </c>
    </row>
    <row r="612" spans="1:3" x14ac:dyDescent="0.25">
      <c r="A612" t="s">
        <v>340</v>
      </c>
      <c r="B612" t="s">
        <v>520</v>
      </c>
      <c r="C612" t="s">
        <v>522</v>
      </c>
    </row>
    <row r="613" spans="1:3" x14ac:dyDescent="0.25">
      <c r="A613" t="s">
        <v>341</v>
      </c>
      <c r="B613" t="s">
        <v>520</v>
      </c>
      <c r="C613" t="s">
        <v>522</v>
      </c>
    </row>
    <row r="614" spans="1:3" x14ac:dyDescent="0.25">
      <c r="A614" t="s">
        <v>342</v>
      </c>
      <c r="B614" t="s">
        <v>520</v>
      </c>
      <c r="C614" t="s">
        <v>522</v>
      </c>
    </row>
    <row r="615" spans="1:3" x14ac:dyDescent="0.25">
      <c r="A615" t="s">
        <v>343</v>
      </c>
      <c r="B615" t="s">
        <v>520</v>
      </c>
      <c r="C615" t="s">
        <v>522</v>
      </c>
    </row>
    <row r="616" spans="1:3" x14ac:dyDescent="0.25">
      <c r="A616" t="s">
        <v>344</v>
      </c>
      <c r="B616" t="s">
        <v>520</v>
      </c>
      <c r="C616" t="s">
        <v>522</v>
      </c>
    </row>
    <row r="617" spans="1:3" x14ac:dyDescent="0.25">
      <c r="A617" t="s">
        <v>345</v>
      </c>
      <c r="B617" t="s">
        <v>520</v>
      </c>
      <c r="C617" t="s">
        <v>522</v>
      </c>
    </row>
    <row r="618" spans="1:3" x14ac:dyDescent="0.25">
      <c r="A618" t="s">
        <v>346</v>
      </c>
      <c r="B618" t="s">
        <v>520</v>
      </c>
      <c r="C618" t="s">
        <v>522</v>
      </c>
    </row>
    <row r="619" spans="1:3" x14ac:dyDescent="0.25">
      <c r="A619" t="s">
        <v>347</v>
      </c>
      <c r="B619" t="s">
        <v>520</v>
      </c>
      <c r="C619" t="s">
        <v>522</v>
      </c>
    </row>
    <row r="620" spans="1:3" x14ac:dyDescent="0.25">
      <c r="A620" t="s">
        <v>348</v>
      </c>
      <c r="B620" t="s">
        <v>520</v>
      </c>
      <c r="C620" t="s">
        <v>522</v>
      </c>
    </row>
    <row r="621" spans="1:3" x14ac:dyDescent="0.25">
      <c r="A621" t="s">
        <v>349</v>
      </c>
      <c r="B621" t="s">
        <v>520</v>
      </c>
      <c r="C621" t="s">
        <v>522</v>
      </c>
    </row>
    <row r="622" spans="1:3" x14ac:dyDescent="0.25">
      <c r="A622" t="s">
        <v>350</v>
      </c>
      <c r="B622" t="s">
        <v>520</v>
      </c>
      <c r="C622" t="s">
        <v>522</v>
      </c>
    </row>
    <row r="623" spans="1:3" x14ac:dyDescent="0.25">
      <c r="A623" t="s">
        <v>351</v>
      </c>
      <c r="B623" t="s">
        <v>520</v>
      </c>
      <c r="C623" t="s">
        <v>522</v>
      </c>
    </row>
    <row r="624" spans="1:3" x14ac:dyDescent="0.25">
      <c r="A624" t="s">
        <v>352</v>
      </c>
      <c r="B624" t="s">
        <v>520</v>
      </c>
      <c r="C624" t="s">
        <v>522</v>
      </c>
    </row>
    <row r="625" spans="1:3" x14ac:dyDescent="0.25">
      <c r="A625" t="s">
        <v>353</v>
      </c>
      <c r="B625" t="s">
        <v>520</v>
      </c>
      <c r="C625" t="s">
        <v>522</v>
      </c>
    </row>
    <row r="626" spans="1:3" x14ac:dyDescent="0.25">
      <c r="A626" t="s">
        <v>354</v>
      </c>
      <c r="B626" t="s">
        <v>520</v>
      </c>
      <c r="C626" t="s">
        <v>522</v>
      </c>
    </row>
    <row r="627" spans="1:3" x14ac:dyDescent="0.25">
      <c r="A627" t="s">
        <v>355</v>
      </c>
      <c r="B627" t="s">
        <v>520</v>
      </c>
      <c r="C627" t="s">
        <v>522</v>
      </c>
    </row>
    <row r="628" spans="1:3" x14ac:dyDescent="0.25">
      <c r="A628" t="s">
        <v>356</v>
      </c>
      <c r="B628" t="s">
        <v>520</v>
      </c>
      <c r="C628" t="s">
        <v>522</v>
      </c>
    </row>
    <row r="629" spans="1:3" x14ac:dyDescent="0.25">
      <c r="A629" t="s">
        <v>357</v>
      </c>
      <c r="B629" t="s">
        <v>520</v>
      </c>
      <c r="C629" t="s">
        <v>522</v>
      </c>
    </row>
    <row r="630" spans="1:3" x14ac:dyDescent="0.25">
      <c r="A630" t="s">
        <v>358</v>
      </c>
      <c r="B630" t="s">
        <v>520</v>
      </c>
      <c r="C630" t="s">
        <v>522</v>
      </c>
    </row>
    <row r="631" spans="1:3" x14ac:dyDescent="0.25">
      <c r="A631" t="s">
        <v>359</v>
      </c>
      <c r="B631" t="s">
        <v>520</v>
      </c>
      <c r="C631" t="s">
        <v>522</v>
      </c>
    </row>
    <row r="632" spans="1:3" x14ac:dyDescent="0.25">
      <c r="A632" t="s">
        <v>568</v>
      </c>
      <c r="B632" t="s">
        <v>520</v>
      </c>
      <c r="C632" t="s">
        <v>522</v>
      </c>
    </row>
    <row r="633" spans="1:3" x14ac:dyDescent="0.25">
      <c r="A633" t="s">
        <v>360</v>
      </c>
      <c r="B633" t="s">
        <v>520</v>
      </c>
      <c r="C633" t="s">
        <v>522</v>
      </c>
    </row>
    <row r="634" spans="1:3" x14ac:dyDescent="0.25">
      <c r="A634" t="s">
        <v>361</v>
      </c>
      <c r="B634" t="s">
        <v>520</v>
      </c>
      <c r="C634" t="s">
        <v>522</v>
      </c>
    </row>
    <row r="635" spans="1:3" x14ac:dyDescent="0.25">
      <c r="A635" t="s">
        <v>362</v>
      </c>
      <c r="B635" t="s">
        <v>520</v>
      </c>
      <c r="C635" t="s">
        <v>522</v>
      </c>
    </row>
    <row r="636" spans="1:3" x14ac:dyDescent="0.25">
      <c r="A636" t="s">
        <v>363</v>
      </c>
      <c r="B636" t="s">
        <v>520</v>
      </c>
      <c r="C636" t="s">
        <v>522</v>
      </c>
    </row>
    <row r="637" spans="1:3" x14ac:dyDescent="0.25">
      <c r="A637" t="s">
        <v>364</v>
      </c>
      <c r="B637" t="s">
        <v>520</v>
      </c>
      <c r="C637" t="s">
        <v>522</v>
      </c>
    </row>
    <row r="638" spans="1:3" x14ac:dyDescent="0.25">
      <c r="A638" t="s">
        <v>365</v>
      </c>
      <c r="B638" t="s">
        <v>520</v>
      </c>
      <c r="C638" t="s">
        <v>522</v>
      </c>
    </row>
    <row r="639" spans="1:3" x14ac:dyDescent="0.25">
      <c r="A639" t="s">
        <v>366</v>
      </c>
      <c r="B639" t="s">
        <v>520</v>
      </c>
      <c r="C639" t="s">
        <v>522</v>
      </c>
    </row>
    <row r="640" spans="1:3" x14ac:dyDescent="0.25">
      <c r="A640" t="s">
        <v>367</v>
      </c>
      <c r="B640" t="s">
        <v>520</v>
      </c>
      <c r="C640" t="s">
        <v>522</v>
      </c>
    </row>
    <row r="641" spans="1:3" x14ac:dyDescent="0.25">
      <c r="A641" t="s">
        <v>368</v>
      </c>
      <c r="B641" t="s">
        <v>520</v>
      </c>
      <c r="C641" t="s">
        <v>522</v>
      </c>
    </row>
    <row r="642" spans="1:3" x14ac:dyDescent="0.25">
      <c r="A642" t="s">
        <v>369</v>
      </c>
      <c r="B642" t="s">
        <v>520</v>
      </c>
      <c r="C642" t="s">
        <v>522</v>
      </c>
    </row>
    <row r="643" spans="1:3" x14ac:dyDescent="0.25">
      <c r="A643" t="s">
        <v>370</v>
      </c>
      <c r="B643" t="s">
        <v>520</v>
      </c>
      <c r="C643" t="s">
        <v>522</v>
      </c>
    </row>
    <row r="644" spans="1:3" x14ac:dyDescent="0.25">
      <c r="A644" t="s">
        <v>371</v>
      </c>
      <c r="B644" t="s">
        <v>520</v>
      </c>
      <c r="C644" t="s">
        <v>522</v>
      </c>
    </row>
    <row r="645" spans="1:3" x14ac:dyDescent="0.25">
      <c r="A645" t="s">
        <v>372</v>
      </c>
      <c r="B645" t="s">
        <v>520</v>
      </c>
      <c r="C645" t="s">
        <v>522</v>
      </c>
    </row>
    <row r="646" spans="1:3" x14ac:dyDescent="0.25">
      <c r="A646" t="s">
        <v>373</v>
      </c>
      <c r="B646" t="s">
        <v>520</v>
      </c>
      <c r="C646" t="s">
        <v>522</v>
      </c>
    </row>
    <row r="647" spans="1:3" x14ac:dyDescent="0.25">
      <c r="A647" t="s">
        <v>374</v>
      </c>
      <c r="B647" t="s">
        <v>520</v>
      </c>
      <c r="C647" t="s">
        <v>522</v>
      </c>
    </row>
    <row r="648" spans="1:3" x14ac:dyDescent="0.25">
      <c r="A648" t="s">
        <v>375</v>
      </c>
      <c r="B648" t="s">
        <v>520</v>
      </c>
      <c r="C648" t="s">
        <v>522</v>
      </c>
    </row>
    <row r="649" spans="1:3" x14ac:dyDescent="0.25">
      <c r="A649" t="s">
        <v>376</v>
      </c>
      <c r="B649" t="s">
        <v>520</v>
      </c>
      <c r="C649" t="s">
        <v>522</v>
      </c>
    </row>
    <row r="650" spans="1:3" x14ac:dyDescent="0.25">
      <c r="A650" t="s">
        <v>377</v>
      </c>
      <c r="B650" t="s">
        <v>520</v>
      </c>
      <c r="C650" t="s">
        <v>522</v>
      </c>
    </row>
    <row r="651" spans="1:3" x14ac:dyDescent="0.25">
      <c r="A651" t="s">
        <v>378</v>
      </c>
      <c r="B651" t="s">
        <v>520</v>
      </c>
      <c r="C651" t="s">
        <v>522</v>
      </c>
    </row>
    <row r="652" spans="1:3" x14ac:dyDescent="0.25">
      <c r="A652" t="s">
        <v>379</v>
      </c>
      <c r="B652" t="s">
        <v>520</v>
      </c>
      <c r="C652" t="s">
        <v>522</v>
      </c>
    </row>
    <row r="653" spans="1:3" x14ac:dyDescent="0.25">
      <c r="A653" t="s">
        <v>380</v>
      </c>
      <c r="B653" t="s">
        <v>520</v>
      </c>
      <c r="C653" t="s">
        <v>522</v>
      </c>
    </row>
    <row r="654" spans="1:3" x14ac:dyDescent="0.25">
      <c r="A654" t="s">
        <v>381</v>
      </c>
      <c r="B654" t="s">
        <v>520</v>
      </c>
      <c r="C654" t="s">
        <v>522</v>
      </c>
    </row>
    <row r="655" spans="1:3" x14ac:dyDescent="0.25">
      <c r="A655" t="s">
        <v>382</v>
      </c>
      <c r="B655" t="s">
        <v>520</v>
      </c>
      <c r="C655" t="s">
        <v>522</v>
      </c>
    </row>
    <row r="656" spans="1:3" x14ac:dyDescent="0.25">
      <c r="A656" t="s">
        <v>383</v>
      </c>
      <c r="B656" t="s">
        <v>520</v>
      </c>
      <c r="C656" t="s">
        <v>522</v>
      </c>
    </row>
    <row r="657" spans="1:3" x14ac:dyDescent="0.25">
      <c r="A657" t="s">
        <v>384</v>
      </c>
      <c r="B657" t="s">
        <v>520</v>
      </c>
      <c r="C657" t="s">
        <v>522</v>
      </c>
    </row>
    <row r="658" spans="1:3" x14ac:dyDescent="0.25">
      <c r="A658" t="s">
        <v>385</v>
      </c>
      <c r="B658" t="s">
        <v>520</v>
      </c>
      <c r="C658" t="s">
        <v>522</v>
      </c>
    </row>
    <row r="659" spans="1:3" x14ac:dyDescent="0.25">
      <c r="A659" t="s">
        <v>386</v>
      </c>
      <c r="B659" t="s">
        <v>520</v>
      </c>
      <c r="C659" t="s">
        <v>522</v>
      </c>
    </row>
    <row r="660" spans="1:3" x14ac:dyDescent="0.25">
      <c r="A660" t="s">
        <v>387</v>
      </c>
      <c r="B660" t="s">
        <v>520</v>
      </c>
      <c r="C660" t="s">
        <v>522</v>
      </c>
    </row>
    <row r="661" spans="1:3" x14ac:dyDescent="0.25">
      <c r="A661" t="s">
        <v>388</v>
      </c>
      <c r="B661" t="s">
        <v>520</v>
      </c>
      <c r="C661" t="s">
        <v>522</v>
      </c>
    </row>
    <row r="662" spans="1:3" x14ac:dyDescent="0.25">
      <c r="A662" t="s">
        <v>389</v>
      </c>
      <c r="B662" t="s">
        <v>520</v>
      </c>
      <c r="C662" t="s">
        <v>522</v>
      </c>
    </row>
    <row r="663" spans="1:3" x14ac:dyDescent="0.25">
      <c r="A663" t="s">
        <v>390</v>
      </c>
      <c r="B663" t="s">
        <v>520</v>
      </c>
      <c r="C663" t="s">
        <v>522</v>
      </c>
    </row>
    <row r="664" spans="1:3" x14ac:dyDescent="0.25">
      <c r="A664" t="s">
        <v>391</v>
      </c>
      <c r="B664" t="s">
        <v>520</v>
      </c>
      <c r="C664" t="s">
        <v>522</v>
      </c>
    </row>
    <row r="665" spans="1:3" x14ac:dyDescent="0.25">
      <c r="A665" t="s">
        <v>392</v>
      </c>
      <c r="B665" t="s">
        <v>520</v>
      </c>
      <c r="C665" t="s">
        <v>522</v>
      </c>
    </row>
    <row r="666" spans="1:3" x14ac:dyDescent="0.25">
      <c r="A666" t="s">
        <v>393</v>
      </c>
      <c r="B666" t="s">
        <v>520</v>
      </c>
      <c r="C666" t="s">
        <v>522</v>
      </c>
    </row>
    <row r="667" spans="1:3" x14ac:dyDescent="0.25">
      <c r="A667" t="s">
        <v>394</v>
      </c>
      <c r="B667" t="s">
        <v>520</v>
      </c>
      <c r="C667" t="s">
        <v>522</v>
      </c>
    </row>
    <row r="668" spans="1:3" x14ac:dyDescent="0.25">
      <c r="A668" t="s">
        <v>395</v>
      </c>
      <c r="B668" t="s">
        <v>520</v>
      </c>
      <c r="C668" t="s">
        <v>522</v>
      </c>
    </row>
    <row r="669" spans="1:3" x14ac:dyDescent="0.25">
      <c r="A669" t="s">
        <v>396</v>
      </c>
      <c r="B669" t="s">
        <v>520</v>
      </c>
      <c r="C669" t="s">
        <v>522</v>
      </c>
    </row>
    <row r="670" spans="1:3" x14ac:dyDescent="0.25">
      <c r="A670" t="s">
        <v>397</v>
      </c>
      <c r="B670" t="s">
        <v>520</v>
      </c>
      <c r="C670" t="s">
        <v>522</v>
      </c>
    </row>
    <row r="671" spans="1:3" x14ac:dyDescent="0.25">
      <c r="A671" t="s">
        <v>398</v>
      </c>
      <c r="B671" t="s">
        <v>520</v>
      </c>
      <c r="C671" t="s">
        <v>522</v>
      </c>
    </row>
    <row r="672" spans="1:3" x14ac:dyDescent="0.25">
      <c r="A672" t="s">
        <v>399</v>
      </c>
      <c r="B672" t="s">
        <v>520</v>
      </c>
      <c r="C672" t="s">
        <v>522</v>
      </c>
    </row>
    <row r="673" spans="1:3" x14ac:dyDescent="0.25">
      <c r="A673" t="s">
        <v>569</v>
      </c>
      <c r="B673" t="s">
        <v>520</v>
      </c>
      <c r="C673" t="s">
        <v>522</v>
      </c>
    </row>
    <row r="674" spans="1:3" x14ac:dyDescent="0.25">
      <c r="A674" t="s">
        <v>400</v>
      </c>
      <c r="B674" t="s">
        <v>520</v>
      </c>
      <c r="C674" t="s">
        <v>522</v>
      </c>
    </row>
    <row r="675" spans="1:3" x14ac:dyDescent="0.25">
      <c r="A675" t="s">
        <v>401</v>
      </c>
      <c r="B675" t="s">
        <v>520</v>
      </c>
      <c r="C675" t="s">
        <v>522</v>
      </c>
    </row>
    <row r="676" spans="1:3" x14ac:dyDescent="0.25">
      <c r="A676" t="s">
        <v>402</v>
      </c>
      <c r="B676" t="s">
        <v>520</v>
      </c>
      <c r="C676" t="s">
        <v>522</v>
      </c>
    </row>
    <row r="677" spans="1:3" x14ac:dyDescent="0.25">
      <c r="A677" t="s">
        <v>403</v>
      </c>
      <c r="B677" t="s">
        <v>520</v>
      </c>
      <c r="C677" t="s">
        <v>522</v>
      </c>
    </row>
    <row r="678" spans="1:3" x14ac:dyDescent="0.25">
      <c r="A678" t="s">
        <v>404</v>
      </c>
      <c r="B678" t="s">
        <v>520</v>
      </c>
      <c r="C678" t="s">
        <v>522</v>
      </c>
    </row>
    <row r="679" spans="1:3" x14ac:dyDescent="0.25">
      <c r="A679" t="s">
        <v>405</v>
      </c>
      <c r="B679" t="s">
        <v>520</v>
      </c>
      <c r="C679" t="s">
        <v>522</v>
      </c>
    </row>
    <row r="680" spans="1:3" x14ac:dyDescent="0.25">
      <c r="A680" t="s">
        <v>406</v>
      </c>
      <c r="B680" t="s">
        <v>520</v>
      </c>
      <c r="C680" t="s">
        <v>522</v>
      </c>
    </row>
    <row r="681" spans="1:3" x14ac:dyDescent="0.25">
      <c r="A681" t="s">
        <v>407</v>
      </c>
      <c r="B681" t="s">
        <v>520</v>
      </c>
      <c r="C681" t="s">
        <v>522</v>
      </c>
    </row>
    <row r="682" spans="1:3" x14ac:dyDescent="0.25">
      <c r="A682" t="s">
        <v>408</v>
      </c>
      <c r="B682" t="s">
        <v>520</v>
      </c>
      <c r="C682" t="s">
        <v>522</v>
      </c>
    </row>
    <row r="683" spans="1:3" x14ac:dyDescent="0.25">
      <c r="A683" t="s">
        <v>409</v>
      </c>
      <c r="B683" t="s">
        <v>520</v>
      </c>
      <c r="C683" t="s">
        <v>522</v>
      </c>
    </row>
    <row r="684" spans="1:3" x14ac:dyDescent="0.25">
      <c r="A684" t="s">
        <v>410</v>
      </c>
      <c r="B684" t="s">
        <v>520</v>
      </c>
      <c r="C684" t="s">
        <v>522</v>
      </c>
    </row>
    <row r="685" spans="1:3" x14ac:dyDescent="0.25">
      <c r="A685" t="s">
        <v>411</v>
      </c>
      <c r="B685" t="s">
        <v>520</v>
      </c>
      <c r="C685" t="s">
        <v>522</v>
      </c>
    </row>
    <row r="686" spans="1:3" x14ac:dyDescent="0.25">
      <c r="A686" t="s">
        <v>412</v>
      </c>
      <c r="B686" t="s">
        <v>520</v>
      </c>
      <c r="C686" t="s">
        <v>522</v>
      </c>
    </row>
    <row r="687" spans="1:3" x14ac:dyDescent="0.25">
      <c r="A687" t="s">
        <v>413</v>
      </c>
      <c r="B687" t="s">
        <v>520</v>
      </c>
      <c r="C687" t="s">
        <v>522</v>
      </c>
    </row>
    <row r="688" spans="1:3" x14ac:dyDescent="0.25">
      <c r="A688" t="s">
        <v>414</v>
      </c>
      <c r="B688" t="s">
        <v>520</v>
      </c>
      <c r="C688" t="s">
        <v>522</v>
      </c>
    </row>
    <row r="689" spans="1:3" x14ac:dyDescent="0.25">
      <c r="A689" t="s">
        <v>415</v>
      </c>
      <c r="B689" t="s">
        <v>520</v>
      </c>
      <c r="C689" t="s">
        <v>522</v>
      </c>
    </row>
    <row r="690" spans="1:3" x14ac:dyDescent="0.25">
      <c r="A690" t="s">
        <v>416</v>
      </c>
      <c r="B690" t="s">
        <v>520</v>
      </c>
      <c r="C690" t="s">
        <v>522</v>
      </c>
    </row>
    <row r="691" spans="1:3" x14ac:dyDescent="0.25">
      <c r="A691" t="s">
        <v>417</v>
      </c>
      <c r="B691" t="s">
        <v>520</v>
      </c>
      <c r="C691" t="s">
        <v>522</v>
      </c>
    </row>
    <row r="692" spans="1:3" x14ac:dyDescent="0.25">
      <c r="A692" t="s">
        <v>418</v>
      </c>
      <c r="B692" t="s">
        <v>520</v>
      </c>
      <c r="C692" t="s">
        <v>522</v>
      </c>
    </row>
    <row r="693" spans="1:3" x14ac:dyDescent="0.25">
      <c r="A693" t="s">
        <v>419</v>
      </c>
      <c r="B693" t="s">
        <v>520</v>
      </c>
      <c r="C693" t="s">
        <v>522</v>
      </c>
    </row>
    <row r="694" spans="1:3" x14ac:dyDescent="0.25">
      <c r="A694" t="s">
        <v>420</v>
      </c>
      <c r="B694" t="s">
        <v>520</v>
      </c>
      <c r="C694" t="s">
        <v>522</v>
      </c>
    </row>
    <row r="695" spans="1:3" x14ac:dyDescent="0.25">
      <c r="A695" t="s">
        <v>421</v>
      </c>
      <c r="B695" t="s">
        <v>520</v>
      </c>
      <c r="C695" t="s">
        <v>522</v>
      </c>
    </row>
    <row r="696" spans="1:3" x14ac:dyDescent="0.25">
      <c r="A696" t="s">
        <v>422</v>
      </c>
      <c r="B696" t="s">
        <v>520</v>
      </c>
      <c r="C696" t="s">
        <v>522</v>
      </c>
    </row>
    <row r="697" spans="1:3" x14ac:dyDescent="0.25">
      <c r="A697" t="s">
        <v>423</v>
      </c>
      <c r="B697" t="s">
        <v>520</v>
      </c>
      <c r="C697" t="s">
        <v>522</v>
      </c>
    </row>
    <row r="698" spans="1:3" x14ac:dyDescent="0.25">
      <c r="A698" t="s">
        <v>424</v>
      </c>
      <c r="B698" t="s">
        <v>520</v>
      </c>
      <c r="C698" t="s">
        <v>522</v>
      </c>
    </row>
    <row r="699" spans="1:3" x14ac:dyDescent="0.25">
      <c r="A699" t="s">
        <v>425</v>
      </c>
      <c r="B699" t="s">
        <v>520</v>
      </c>
      <c r="C699" t="s">
        <v>522</v>
      </c>
    </row>
    <row r="700" spans="1:3" x14ac:dyDescent="0.25">
      <c r="A700" t="s">
        <v>426</v>
      </c>
      <c r="B700" t="s">
        <v>520</v>
      </c>
      <c r="C700" t="s">
        <v>522</v>
      </c>
    </row>
    <row r="701" spans="1:3" x14ac:dyDescent="0.25">
      <c r="A701" t="s">
        <v>427</v>
      </c>
      <c r="B701" t="s">
        <v>520</v>
      </c>
      <c r="C701" t="s">
        <v>522</v>
      </c>
    </row>
    <row r="702" spans="1:3" x14ac:dyDescent="0.25">
      <c r="A702" t="s">
        <v>428</v>
      </c>
      <c r="B702" t="s">
        <v>520</v>
      </c>
      <c r="C702" t="s">
        <v>522</v>
      </c>
    </row>
    <row r="703" spans="1:3" x14ac:dyDescent="0.25">
      <c r="A703" t="s">
        <v>429</v>
      </c>
      <c r="B703" t="s">
        <v>520</v>
      </c>
      <c r="C703" t="s">
        <v>522</v>
      </c>
    </row>
    <row r="704" spans="1:3" x14ac:dyDescent="0.25">
      <c r="A704" t="s">
        <v>430</v>
      </c>
      <c r="B704" t="s">
        <v>520</v>
      </c>
      <c r="C704" t="s">
        <v>522</v>
      </c>
    </row>
    <row r="705" spans="1:3" x14ac:dyDescent="0.25">
      <c r="A705" t="s">
        <v>431</v>
      </c>
      <c r="B705" t="s">
        <v>520</v>
      </c>
      <c r="C705" t="s">
        <v>522</v>
      </c>
    </row>
    <row r="706" spans="1:3" x14ac:dyDescent="0.25">
      <c r="A706" t="s">
        <v>432</v>
      </c>
      <c r="B706" t="s">
        <v>520</v>
      </c>
      <c r="C706" t="s">
        <v>522</v>
      </c>
    </row>
    <row r="707" spans="1:3" x14ac:dyDescent="0.25">
      <c r="A707" t="s">
        <v>433</v>
      </c>
      <c r="B707" t="s">
        <v>520</v>
      </c>
      <c r="C707" t="s">
        <v>522</v>
      </c>
    </row>
    <row r="708" spans="1:3" x14ac:dyDescent="0.25">
      <c r="A708" t="s">
        <v>434</v>
      </c>
      <c r="B708" t="s">
        <v>520</v>
      </c>
      <c r="C708" t="s">
        <v>522</v>
      </c>
    </row>
    <row r="709" spans="1:3" x14ac:dyDescent="0.25">
      <c r="A709" t="s">
        <v>435</v>
      </c>
      <c r="B709" t="s">
        <v>520</v>
      </c>
      <c r="C709" t="s">
        <v>522</v>
      </c>
    </row>
    <row r="710" spans="1:3" x14ac:dyDescent="0.25">
      <c r="A710" t="s">
        <v>436</v>
      </c>
      <c r="B710" t="s">
        <v>520</v>
      </c>
      <c r="C710" t="s">
        <v>522</v>
      </c>
    </row>
    <row r="711" spans="1:3" x14ac:dyDescent="0.25">
      <c r="A711" t="s">
        <v>437</v>
      </c>
      <c r="B711" t="s">
        <v>520</v>
      </c>
      <c r="C711" t="s">
        <v>522</v>
      </c>
    </row>
    <row r="712" spans="1:3" x14ac:dyDescent="0.25">
      <c r="A712" t="s">
        <v>438</v>
      </c>
      <c r="B712" t="s">
        <v>520</v>
      </c>
      <c r="C712" t="s">
        <v>522</v>
      </c>
    </row>
    <row r="713" spans="1:3" x14ac:dyDescent="0.25">
      <c r="A713" t="s">
        <v>439</v>
      </c>
      <c r="B713" t="s">
        <v>520</v>
      </c>
      <c r="C713" t="s">
        <v>522</v>
      </c>
    </row>
    <row r="714" spans="1:3" x14ac:dyDescent="0.25">
      <c r="A714" t="s">
        <v>570</v>
      </c>
      <c r="B714" t="s">
        <v>520</v>
      </c>
      <c r="C714" t="s">
        <v>522</v>
      </c>
    </row>
    <row r="715" spans="1:3" x14ac:dyDescent="0.25">
      <c r="A715" t="s">
        <v>440</v>
      </c>
      <c r="B715" t="s">
        <v>520</v>
      </c>
      <c r="C715" t="s">
        <v>522</v>
      </c>
    </row>
    <row r="716" spans="1:3" x14ac:dyDescent="0.25">
      <c r="A716" t="s">
        <v>441</v>
      </c>
      <c r="B716" t="s">
        <v>520</v>
      </c>
      <c r="C716" t="s">
        <v>522</v>
      </c>
    </row>
    <row r="717" spans="1:3" x14ac:dyDescent="0.25">
      <c r="A717" t="s">
        <v>442</v>
      </c>
      <c r="B717" t="s">
        <v>520</v>
      </c>
      <c r="C717" t="s">
        <v>522</v>
      </c>
    </row>
    <row r="718" spans="1:3" x14ac:dyDescent="0.25">
      <c r="A718" t="s">
        <v>443</v>
      </c>
      <c r="B718" t="s">
        <v>520</v>
      </c>
      <c r="C718" t="s">
        <v>522</v>
      </c>
    </row>
    <row r="719" spans="1:3" x14ac:dyDescent="0.25">
      <c r="A719" t="s">
        <v>444</v>
      </c>
      <c r="B719" t="s">
        <v>520</v>
      </c>
      <c r="C719" t="s">
        <v>522</v>
      </c>
    </row>
    <row r="720" spans="1:3" x14ac:dyDescent="0.25">
      <c r="A720" t="s">
        <v>445</v>
      </c>
      <c r="B720" t="s">
        <v>520</v>
      </c>
      <c r="C720" t="s">
        <v>522</v>
      </c>
    </row>
    <row r="721" spans="1:3" x14ac:dyDescent="0.25">
      <c r="A721" t="s">
        <v>446</v>
      </c>
      <c r="B721" t="s">
        <v>520</v>
      </c>
      <c r="C721" t="s">
        <v>522</v>
      </c>
    </row>
    <row r="722" spans="1:3" x14ac:dyDescent="0.25">
      <c r="A722" t="s">
        <v>447</v>
      </c>
      <c r="B722" t="s">
        <v>520</v>
      </c>
      <c r="C722" t="s">
        <v>522</v>
      </c>
    </row>
    <row r="723" spans="1:3" x14ac:dyDescent="0.25">
      <c r="A723" t="s">
        <v>448</v>
      </c>
      <c r="B723" t="s">
        <v>520</v>
      </c>
      <c r="C723" t="s">
        <v>522</v>
      </c>
    </row>
    <row r="724" spans="1:3" x14ac:dyDescent="0.25">
      <c r="A724" t="s">
        <v>449</v>
      </c>
      <c r="B724" t="s">
        <v>520</v>
      </c>
      <c r="C724" t="s">
        <v>522</v>
      </c>
    </row>
    <row r="725" spans="1:3" x14ac:dyDescent="0.25">
      <c r="A725" t="s">
        <v>450</v>
      </c>
      <c r="B725" t="s">
        <v>520</v>
      </c>
      <c r="C725" t="s">
        <v>522</v>
      </c>
    </row>
    <row r="726" spans="1:3" x14ac:dyDescent="0.25">
      <c r="A726" t="s">
        <v>451</v>
      </c>
      <c r="B726" t="s">
        <v>520</v>
      </c>
      <c r="C726" t="s">
        <v>522</v>
      </c>
    </row>
    <row r="727" spans="1:3" x14ac:dyDescent="0.25">
      <c r="A727" t="s">
        <v>452</v>
      </c>
      <c r="B727" t="s">
        <v>520</v>
      </c>
      <c r="C727" t="s">
        <v>522</v>
      </c>
    </row>
    <row r="728" spans="1:3" x14ac:dyDescent="0.25">
      <c r="A728" t="s">
        <v>453</v>
      </c>
      <c r="B728" t="s">
        <v>520</v>
      </c>
      <c r="C728" t="s">
        <v>522</v>
      </c>
    </row>
    <row r="729" spans="1:3" x14ac:dyDescent="0.25">
      <c r="A729" t="s">
        <v>454</v>
      </c>
      <c r="B729" t="s">
        <v>520</v>
      </c>
      <c r="C729" t="s">
        <v>522</v>
      </c>
    </row>
    <row r="730" spans="1:3" x14ac:dyDescent="0.25">
      <c r="A730" t="s">
        <v>455</v>
      </c>
      <c r="B730" t="s">
        <v>520</v>
      </c>
      <c r="C730" t="s">
        <v>522</v>
      </c>
    </row>
    <row r="731" spans="1:3" x14ac:dyDescent="0.25">
      <c r="A731" t="s">
        <v>456</v>
      </c>
      <c r="B731" t="s">
        <v>520</v>
      </c>
      <c r="C731" t="s">
        <v>522</v>
      </c>
    </row>
    <row r="732" spans="1:3" x14ac:dyDescent="0.25">
      <c r="A732" t="s">
        <v>457</v>
      </c>
      <c r="B732" t="s">
        <v>520</v>
      </c>
      <c r="C732" t="s">
        <v>522</v>
      </c>
    </row>
    <row r="733" spans="1:3" x14ac:dyDescent="0.25">
      <c r="A733" t="s">
        <v>458</v>
      </c>
      <c r="B733" t="s">
        <v>520</v>
      </c>
      <c r="C733" t="s">
        <v>522</v>
      </c>
    </row>
    <row r="734" spans="1:3" x14ac:dyDescent="0.25">
      <c r="A734" t="s">
        <v>459</v>
      </c>
      <c r="B734" t="s">
        <v>520</v>
      </c>
      <c r="C734" t="s">
        <v>522</v>
      </c>
    </row>
    <row r="735" spans="1:3" x14ac:dyDescent="0.25">
      <c r="A735" t="s">
        <v>460</v>
      </c>
      <c r="B735" t="s">
        <v>520</v>
      </c>
      <c r="C735" t="s">
        <v>522</v>
      </c>
    </row>
    <row r="736" spans="1:3" x14ac:dyDescent="0.25">
      <c r="A736" t="s">
        <v>461</v>
      </c>
      <c r="B736" t="s">
        <v>520</v>
      </c>
      <c r="C736" t="s">
        <v>522</v>
      </c>
    </row>
    <row r="737" spans="1:3" x14ac:dyDescent="0.25">
      <c r="A737" t="s">
        <v>462</v>
      </c>
      <c r="B737" t="s">
        <v>520</v>
      </c>
      <c r="C737" t="s">
        <v>522</v>
      </c>
    </row>
    <row r="738" spans="1:3" x14ac:dyDescent="0.25">
      <c r="A738" t="s">
        <v>463</v>
      </c>
      <c r="B738" t="s">
        <v>520</v>
      </c>
      <c r="C738" t="s">
        <v>522</v>
      </c>
    </row>
    <row r="739" spans="1:3" x14ac:dyDescent="0.25">
      <c r="A739" t="s">
        <v>464</v>
      </c>
      <c r="B739" t="s">
        <v>520</v>
      </c>
      <c r="C739" t="s">
        <v>522</v>
      </c>
    </row>
    <row r="740" spans="1:3" x14ac:dyDescent="0.25">
      <c r="A740" t="s">
        <v>465</v>
      </c>
      <c r="B740" t="s">
        <v>520</v>
      </c>
      <c r="C740" t="s">
        <v>522</v>
      </c>
    </row>
    <row r="741" spans="1:3" x14ac:dyDescent="0.25">
      <c r="A741" t="s">
        <v>466</v>
      </c>
      <c r="B741" t="s">
        <v>520</v>
      </c>
      <c r="C741" t="s">
        <v>522</v>
      </c>
    </row>
    <row r="742" spans="1:3" x14ac:dyDescent="0.25">
      <c r="A742" t="s">
        <v>467</v>
      </c>
      <c r="B742" t="s">
        <v>520</v>
      </c>
      <c r="C742" t="s">
        <v>522</v>
      </c>
    </row>
    <row r="743" spans="1:3" x14ac:dyDescent="0.25">
      <c r="A743" t="s">
        <v>468</v>
      </c>
      <c r="B743" t="s">
        <v>520</v>
      </c>
      <c r="C743" t="s">
        <v>522</v>
      </c>
    </row>
    <row r="744" spans="1:3" x14ac:dyDescent="0.25">
      <c r="A744" t="s">
        <v>469</v>
      </c>
      <c r="B744" t="s">
        <v>520</v>
      </c>
      <c r="C744" t="s">
        <v>522</v>
      </c>
    </row>
    <row r="745" spans="1:3" x14ac:dyDescent="0.25">
      <c r="A745" t="s">
        <v>470</v>
      </c>
      <c r="B745" t="s">
        <v>520</v>
      </c>
      <c r="C745" t="s">
        <v>522</v>
      </c>
    </row>
    <row r="746" spans="1:3" x14ac:dyDescent="0.25">
      <c r="A746" t="s">
        <v>471</v>
      </c>
      <c r="B746" t="s">
        <v>520</v>
      </c>
      <c r="C746" t="s">
        <v>522</v>
      </c>
    </row>
    <row r="747" spans="1:3" x14ac:dyDescent="0.25">
      <c r="A747" t="s">
        <v>472</v>
      </c>
      <c r="B747" t="s">
        <v>520</v>
      </c>
      <c r="C747" t="s">
        <v>522</v>
      </c>
    </row>
    <row r="748" spans="1:3" x14ac:dyDescent="0.25">
      <c r="A748" t="s">
        <v>473</v>
      </c>
      <c r="B748" t="s">
        <v>520</v>
      </c>
      <c r="C748" t="s">
        <v>522</v>
      </c>
    </row>
    <row r="749" spans="1:3" x14ac:dyDescent="0.25">
      <c r="A749" t="s">
        <v>474</v>
      </c>
      <c r="B749" t="s">
        <v>520</v>
      </c>
      <c r="C749" t="s">
        <v>522</v>
      </c>
    </row>
    <row r="750" spans="1:3" x14ac:dyDescent="0.25">
      <c r="A750" t="s">
        <v>475</v>
      </c>
      <c r="B750" t="s">
        <v>520</v>
      </c>
      <c r="C750" t="s">
        <v>522</v>
      </c>
    </row>
    <row r="751" spans="1:3" x14ac:dyDescent="0.25">
      <c r="A751" t="s">
        <v>476</v>
      </c>
      <c r="B751" t="s">
        <v>520</v>
      </c>
      <c r="C751" t="s">
        <v>522</v>
      </c>
    </row>
    <row r="752" spans="1:3" x14ac:dyDescent="0.25">
      <c r="A752" t="s">
        <v>477</v>
      </c>
      <c r="B752" t="s">
        <v>520</v>
      </c>
      <c r="C752" t="s">
        <v>522</v>
      </c>
    </row>
    <row r="753" spans="1:3" x14ac:dyDescent="0.25">
      <c r="A753" t="s">
        <v>478</v>
      </c>
      <c r="B753" t="s">
        <v>520</v>
      </c>
      <c r="C753" t="s">
        <v>522</v>
      </c>
    </row>
    <row r="754" spans="1:3" x14ac:dyDescent="0.25">
      <c r="A754" t="s">
        <v>479</v>
      </c>
      <c r="B754" t="s">
        <v>520</v>
      </c>
      <c r="C754" t="s">
        <v>522</v>
      </c>
    </row>
    <row r="755" spans="1:3" x14ac:dyDescent="0.25">
      <c r="A755" t="s">
        <v>480</v>
      </c>
      <c r="B755" t="s">
        <v>520</v>
      </c>
      <c r="C755" t="s">
        <v>522</v>
      </c>
    </row>
    <row r="756" spans="1:3" x14ac:dyDescent="0.25">
      <c r="A756" t="s">
        <v>481</v>
      </c>
      <c r="B756" t="s">
        <v>520</v>
      </c>
      <c r="C756" t="s">
        <v>522</v>
      </c>
    </row>
    <row r="757" spans="1:3" x14ac:dyDescent="0.25">
      <c r="A757" t="s">
        <v>482</v>
      </c>
      <c r="B757" t="s">
        <v>520</v>
      </c>
      <c r="C757" t="s">
        <v>522</v>
      </c>
    </row>
    <row r="758" spans="1:3" x14ac:dyDescent="0.25">
      <c r="A758" t="s">
        <v>483</v>
      </c>
      <c r="B758" t="s">
        <v>520</v>
      </c>
      <c r="C758" t="s">
        <v>522</v>
      </c>
    </row>
    <row r="759" spans="1:3" x14ac:dyDescent="0.25">
      <c r="A759" t="s">
        <v>484</v>
      </c>
      <c r="B759" t="s">
        <v>520</v>
      </c>
      <c r="C759" t="s">
        <v>522</v>
      </c>
    </row>
    <row r="760" spans="1:3" x14ac:dyDescent="0.25">
      <c r="A760" t="s">
        <v>485</v>
      </c>
      <c r="B760" t="s">
        <v>520</v>
      </c>
      <c r="C760" t="s">
        <v>522</v>
      </c>
    </row>
    <row r="761" spans="1:3" x14ac:dyDescent="0.25">
      <c r="A761" t="s">
        <v>486</v>
      </c>
      <c r="B761" t="s">
        <v>520</v>
      </c>
      <c r="C761" t="s">
        <v>522</v>
      </c>
    </row>
    <row r="762" spans="1:3" x14ac:dyDescent="0.25">
      <c r="A762" t="s">
        <v>571</v>
      </c>
      <c r="B762" t="s">
        <v>520</v>
      </c>
      <c r="C762" t="s">
        <v>522</v>
      </c>
    </row>
    <row r="763" spans="1:3" x14ac:dyDescent="0.25">
      <c r="A763" t="s">
        <v>487</v>
      </c>
      <c r="B763" t="s">
        <v>520</v>
      </c>
      <c r="C763" t="s">
        <v>522</v>
      </c>
    </row>
    <row r="764" spans="1:3" x14ac:dyDescent="0.25">
      <c r="A764" t="s">
        <v>488</v>
      </c>
      <c r="B764" t="s">
        <v>520</v>
      </c>
      <c r="C764" t="s">
        <v>522</v>
      </c>
    </row>
    <row r="765" spans="1:3" x14ac:dyDescent="0.25">
      <c r="A765" t="s">
        <v>489</v>
      </c>
      <c r="B765" t="s">
        <v>520</v>
      </c>
      <c r="C765" t="s">
        <v>522</v>
      </c>
    </row>
    <row r="766" spans="1:3" x14ac:dyDescent="0.25">
      <c r="A766" t="s">
        <v>490</v>
      </c>
      <c r="B766" t="s">
        <v>520</v>
      </c>
      <c r="C766" t="s">
        <v>522</v>
      </c>
    </row>
    <row r="767" spans="1:3" x14ac:dyDescent="0.25">
      <c r="A767" t="s">
        <v>491</v>
      </c>
      <c r="B767" t="s">
        <v>520</v>
      </c>
      <c r="C767" t="s">
        <v>522</v>
      </c>
    </row>
    <row r="768" spans="1:3" x14ac:dyDescent="0.25">
      <c r="A768" t="s">
        <v>492</v>
      </c>
      <c r="B768" t="s">
        <v>520</v>
      </c>
      <c r="C768" t="s">
        <v>522</v>
      </c>
    </row>
    <row r="769" spans="1:3" x14ac:dyDescent="0.25">
      <c r="A769" t="s">
        <v>493</v>
      </c>
      <c r="B769" t="s">
        <v>520</v>
      </c>
      <c r="C769" t="s">
        <v>522</v>
      </c>
    </row>
    <row r="770" spans="1:3" x14ac:dyDescent="0.25">
      <c r="A770" t="s">
        <v>494</v>
      </c>
      <c r="B770" t="s">
        <v>520</v>
      </c>
      <c r="C770" t="s">
        <v>522</v>
      </c>
    </row>
    <row r="771" spans="1:3" x14ac:dyDescent="0.25">
      <c r="A771" t="s">
        <v>495</v>
      </c>
      <c r="B771" t="s">
        <v>520</v>
      </c>
      <c r="C771" t="s">
        <v>522</v>
      </c>
    </row>
    <row r="772" spans="1:3" x14ac:dyDescent="0.25">
      <c r="A772" t="s">
        <v>496</v>
      </c>
      <c r="B772" t="s">
        <v>520</v>
      </c>
      <c r="C772" t="s">
        <v>522</v>
      </c>
    </row>
    <row r="773" spans="1:3" x14ac:dyDescent="0.25">
      <c r="A773" t="s">
        <v>497</v>
      </c>
      <c r="B773" t="s">
        <v>520</v>
      </c>
      <c r="C773" t="s">
        <v>522</v>
      </c>
    </row>
    <row r="774" spans="1:3" x14ac:dyDescent="0.25">
      <c r="A774" t="s">
        <v>498</v>
      </c>
      <c r="B774" t="s">
        <v>520</v>
      </c>
      <c r="C774" t="s">
        <v>522</v>
      </c>
    </row>
    <row r="775" spans="1:3" x14ac:dyDescent="0.25">
      <c r="A775" t="s">
        <v>499</v>
      </c>
      <c r="B775" t="s">
        <v>520</v>
      </c>
      <c r="C775" t="s">
        <v>522</v>
      </c>
    </row>
    <row r="776" spans="1:3" x14ac:dyDescent="0.25">
      <c r="A776" t="s">
        <v>500</v>
      </c>
      <c r="B776" t="s">
        <v>520</v>
      </c>
      <c r="C776" t="s">
        <v>522</v>
      </c>
    </row>
    <row r="777" spans="1:3" x14ac:dyDescent="0.25">
      <c r="A777" t="s">
        <v>501</v>
      </c>
      <c r="B777" t="s">
        <v>520</v>
      </c>
      <c r="C777" t="s">
        <v>522</v>
      </c>
    </row>
    <row r="778" spans="1:3" x14ac:dyDescent="0.25">
      <c r="A778" t="s">
        <v>502</v>
      </c>
      <c r="B778" t="s">
        <v>520</v>
      </c>
      <c r="C778" t="s">
        <v>522</v>
      </c>
    </row>
    <row r="779" spans="1:3" x14ac:dyDescent="0.25">
      <c r="A779" t="s">
        <v>503</v>
      </c>
      <c r="B779" t="s">
        <v>520</v>
      </c>
      <c r="C779" t="s">
        <v>522</v>
      </c>
    </row>
    <row r="780" spans="1:3" x14ac:dyDescent="0.25">
      <c r="A780" t="s">
        <v>504</v>
      </c>
      <c r="B780" t="s">
        <v>520</v>
      </c>
      <c r="C780" t="s">
        <v>522</v>
      </c>
    </row>
    <row r="781" spans="1:3" x14ac:dyDescent="0.25">
      <c r="A781" t="s">
        <v>505</v>
      </c>
      <c r="B781" t="s">
        <v>520</v>
      </c>
      <c r="C781" t="s">
        <v>522</v>
      </c>
    </row>
    <row r="782" spans="1:3" x14ac:dyDescent="0.25">
      <c r="A782" t="s">
        <v>506</v>
      </c>
      <c r="B782" t="s">
        <v>520</v>
      </c>
      <c r="C782" t="s">
        <v>522</v>
      </c>
    </row>
    <row r="783" spans="1:3" x14ac:dyDescent="0.25">
      <c r="A783" t="s">
        <v>507</v>
      </c>
      <c r="B783" t="s">
        <v>520</v>
      </c>
      <c r="C783" t="s">
        <v>522</v>
      </c>
    </row>
    <row r="784" spans="1:3" x14ac:dyDescent="0.25">
      <c r="A784" t="s">
        <v>572</v>
      </c>
      <c r="B784" t="s">
        <v>520</v>
      </c>
      <c r="C784" t="s">
        <v>522</v>
      </c>
    </row>
    <row r="785" spans="1:3" x14ac:dyDescent="0.25">
      <c r="A785" t="s">
        <v>508</v>
      </c>
      <c r="B785" t="s">
        <v>520</v>
      </c>
      <c r="C785" t="s">
        <v>522</v>
      </c>
    </row>
    <row r="786" spans="1:3" x14ac:dyDescent="0.25">
      <c r="A786" t="s">
        <v>573</v>
      </c>
      <c r="B786" t="s">
        <v>520</v>
      </c>
      <c r="C786" t="s">
        <v>522</v>
      </c>
    </row>
    <row r="787" spans="1:3" x14ac:dyDescent="0.25">
      <c r="A787" t="s">
        <v>509</v>
      </c>
      <c r="B787" t="s">
        <v>520</v>
      </c>
      <c r="C787" t="s">
        <v>522</v>
      </c>
    </row>
    <row r="788" spans="1:3" x14ac:dyDescent="0.25">
      <c r="A788" t="s">
        <v>510</v>
      </c>
      <c r="B788" t="s">
        <v>520</v>
      </c>
      <c r="C788" t="s">
        <v>522</v>
      </c>
    </row>
    <row r="789" spans="1:3" x14ac:dyDescent="0.25">
      <c r="A789" t="s">
        <v>511</v>
      </c>
      <c r="B789" t="s">
        <v>520</v>
      </c>
      <c r="C789" t="s">
        <v>522</v>
      </c>
    </row>
    <row r="790" spans="1:3" x14ac:dyDescent="0.25">
      <c r="A790" t="s">
        <v>512</v>
      </c>
      <c r="B790" t="s">
        <v>520</v>
      </c>
      <c r="C790" t="s">
        <v>522</v>
      </c>
    </row>
    <row r="791" spans="1:3" x14ac:dyDescent="0.25">
      <c r="A791" t="s">
        <v>936</v>
      </c>
      <c r="B791" t="s">
        <v>520</v>
      </c>
      <c r="C791" t="s">
        <v>522</v>
      </c>
    </row>
    <row r="792" spans="1:3" x14ac:dyDescent="0.25">
      <c r="A792" t="s">
        <v>513</v>
      </c>
      <c r="B792" t="s">
        <v>520</v>
      </c>
      <c r="C792" t="s">
        <v>522</v>
      </c>
    </row>
    <row r="793" spans="1:3" x14ac:dyDescent="0.25">
      <c r="A793" t="s">
        <v>574</v>
      </c>
      <c r="B793" t="s">
        <v>520</v>
      </c>
      <c r="C793" t="s">
        <v>522</v>
      </c>
    </row>
    <row r="794" spans="1:3" x14ac:dyDescent="0.25">
      <c r="A794" t="s">
        <v>514</v>
      </c>
      <c r="B794" t="s">
        <v>520</v>
      </c>
      <c r="C794" t="s">
        <v>522</v>
      </c>
    </row>
    <row r="795" spans="1:3" x14ac:dyDescent="0.25">
      <c r="A795" t="s">
        <v>515</v>
      </c>
      <c r="B795" t="s">
        <v>520</v>
      </c>
      <c r="C795" t="s">
        <v>522</v>
      </c>
    </row>
    <row r="796" spans="1:3" x14ac:dyDescent="0.25">
      <c r="A796" t="s">
        <v>575</v>
      </c>
      <c r="B796" t="s">
        <v>520</v>
      </c>
      <c r="C796" t="s">
        <v>522</v>
      </c>
    </row>
    <row r="797" spans="1:3" x14ac:dyDescent="0.25">
      <c r="A797" t="s">
        <v>516</v>
      </c>
      <c r="B797" t="s">
        <v>520</v>
      </c>
      <c r="C797" t="s">
        <v>522</v>
      </c>
    </row>
    <row r="798" spans="1:3" x14ac:dyDescent="0.25">
      <c r="A798" t="s">
        <v>517</v>
      </c>
      <c r="B798" t="s">
        <v>520</v>
      </c>
      <c r="C798" t="s">
        <v>522</v>
      </c>
    </row>
    <row r="799" spans="1:3" x14ac:dyDescent="0.25">
      <c r="A799" t="s">
        <v>518</v>
      </c>
      <c r="B799" t="s">
        <v>520</v>
      </c>
      <c r="C799" t="s">
        <v>522</v>
      </c>
    </row>
    <row r="800" spans="1:3" x14ac:dyDescent="0.25">
      <c r="A800" t="s">
        <v>937</v>
      </c>
      <c r="B800" t="s">
        <v>520</v>
      </c>
      <c r="C800" t="s">
        <v>522</v>
      </c>
    </row>
    <row r="801" spans="1:3" x14ac:dyDescent="0.25">
      <c r="A801" t="s">
        <v>938</v>
      </c>
      <c r="B801" t="s">
        <v>520</v>
      </c>
      <c r="C801" t="s">
        <v>522</v>
      </c>
    </row>
    <row r="802" spans="1:3" x14ac:dyDescent="0.25">
      <c r="A802" t="s">
        <v>576</v>
      </c>
      <c r="B802" t="s">
        <v>520</v>
      </c>
      <c r="C802" t="s">
        <v>522</v>
      </c>
    </row>
    <row r="803" spans="1:3" x14ac:dyDescent="0.25">
      <c r="A803" t="s">
        <v>519</v>
      </c>
      <c r="B803" t="s">
        <v>520</v>
      </c>
      <c r="C803" t="s">
        <v>522</v>
      </c>
    </row>
    <row r="804" spans="1:3" x14ac:dyDescent="0.25">
      <c r="A804" t="s">
        <v>577</v>
      </c>
      <c r="B804" t="s">
        <v>520</v>
      </c>
      <c r="C804" t="s">
        <v>522</v>
      </c>
    </row>
    <row r="805" spans="1:3" x14ac:dyDescent="0.25">
      <c r="A805" t="s">
        <v>939</v>
      </c>
      <c r="B805" t="s">
        <v>520</v>
      </c>
      <c r="C805" t="s">
        <v>522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Ocorrencias</vt:lpstr>
      <vt:lpstr>ContidoEm</vt:lpstr>
      <vt:lpstr>Resumo</vt:lpstr>
      <vt:lpstr>Sheet1</vt:lpstr>
      <vt:lpstr>Fontes</vt:lpstr>
    </vt:vector>
  </TitlesOfParts>
  <Company>Accenture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Oliveira, Leonardo A.</dc:creator>
  <cp:lastModifiedBy>Oliveira, Leonardo A.</cp:lastModifiedBy>
  <dcterms:created xsi:type="dcterms:W3CDTF">2017-11-03T13:06:57Z</dcterms:created>
  <dcterms:modified xsi:type="dcterms:W3CDTF">2018-10-18T17:39:57Z</dcterms:modified>
</cp:coreProperties>
</file>